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purl.oclc.org/ooxml/officeDocument/relationships/extendedProperties" Target="docProps/app.xml"/><Relationship Id="rId2" Type="http://schemas.openxmlformats.org/package/2006/relationships/metadata/core-properties" Target="docProps/core.xml"/><Relationship Id="rId1" Type="http://purl.oclc.org/ooxml/officeDocument/relationships/officeDocument" Target="xl/workbook.xml"/></Relationships>
</file>

<file path=xl/workbook.xml><?xml version="1.0" encoding="utf-8"?>
<workbook xmlns="http://purl.oclc.org/ooxml/spreadsheetml/main" xmlns:r="http://purl.oclc.org/ooxml/officeDocument/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conformance="strict">
  <fileVersion appName="xl" lastEdited="7" lowestEdited="7" rupBuild="11207"/>
  <workbookPr dateCompatibility="0" defaultThemeVersion="202300"/>
  <mc:AlternateContent xmlns:mc="http://schemas.openxmlformats.org/markup-compatibility/2006">
    <mc:Choice Requires="x15">
      <x15ac:absPath xmlns:x15ac="http://schemas.microsoft.com/office/spreadsheetml/2010/11/ac" url="/Users/mt/workspace/gp-statmod/GroupPolarizationStatmod/data/"/>
    </mc:Choice>
  </mc:AlternateContent>
  <xr:revisionPtr revIDLastSave="0" documentId="13_ncr:9_{570FD1DD-24F6-9E40-91A0-9B565515DA10}" xr6:coauthVersionLast="47" xr6:coauthVersionMax="47" xr10:uidLastSave="{00000000-0000-0000-0000-000000000000}"/>
  <bookViews>
    <workbookView xWindow="8400" yWindow="2400" windowWidth="21600" windowHeight="19200" xr2:uid="{28B24468-AC29-524C-88BB-DBB8559362C2}"/>
  </bookViews>
  <sheets>
    <sheet name="StudiesAnalysis" sheetId="1" r:id="rId1"/>
  </sheets>
  <calcPr calcId="191029"/>
  <extLs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<sst xmlns="http://purl.oclc.org/ooxml/spreadsheetml/main" count="258" uniqueCount="121">
  <si>
    <t>TreatmentTag</t>
  </si>
  <si>
    <t>ArticleTag</t>
  </si>
  <si>
    <t>LatentSDPre</t>
  </si>
  <si>
    <t>LatentSDPost</t>
  </si>
  <si>
    <t>ObservedMeanPre</t>
  </si>
  <si>
    <t>ObservedMeanPost</t>
  </si>
  <si>
    <t>ObservedShift</t>
  </si>
  <si>
    <t>ObservedShiftSD</t>
  </si>
  <si>
    <t>N</t>
  </si>
  <si>
    <t>LatentMean</t>
  </si>
  <si>
    <t>HillclimbStepSize</t>
  </si>
  <si>
    <t>HillclimbSuccessThreshold</t>
  </si>
  <si>
    <t>ObservedMeanPreError</t>
  </si>
  <si>
    <t>ObservedMeanPostError</t>
  </si>
  <si>
    <t>MinBinValue</t>
  </si>
  <si>
    <t>MaxBinValue</t>
  </si>
  <si>
    <t>Plausible</t>
  </si>
  <si>
    <t>PlausibleInt</t>
  </si>
  <si>
    <t>Include</t>
  </si>
  <si>
    <t>IncludeInt</t>
  </si>
  <si>
    <t>Notes</t>
  </si>
  <si>
    <t>Boulder-Aff.Act.</t>
  </si>
  <si>
    <t>Schkade2010</t>
  </si>
  <si>
    <t>NA</t>
  </si>
  <si>
    <t>The solutions here tend to have a large pre SD for which no cases were observed in Boulder, but it is still plausible that a different group could have the sorts of statistics we found. The histograms do not disambiguate actually, because they are over all topics. Probably this is less plausible than other cases, but plausible nonetheless. Take example of California, which defeated an Affirmative Action measure. It is totally plausible that many liberals have strong views against Affirmative Action, at least 1 in 5 in some groups.</t>
  </si>
  <si>
    <t>COSprings-Aff.Act.</t>
  </si>
  <si>
    <t>Boulder-CivilUnions</t>
  </si>
  <si>
    <t>COSprings-CivilUnions</t>
  </si>
  <si>
    <t>Boulder-GlobalWarming</t>
  </si>
  <si>
    <t>COSprings-GlobalWarming</t>
  </si>
  <si>
    <t>There are some solutions, but they have unrealistic distributions, too much polarization to be plausible, at a latent mean of ~2.8.</t>
  </si>
  <si>
    <t>Americans</t>
  </si>
  <si>
    <t>Moscovici1969</t>
  </si>
  <si>
    <t>Numbers from Table 4, p. 132</t>
  </si>
  <si>
    <t>DeGaulle</t>
  </si>
  <si>
    <t>DeGaulle-Judg.-Fav.</t>
  </si>
  <si>
    <t>DeGaulle-Judg.-Unfav.</t>
  </si>
  <si>
    <t>LowPrejudice</t>
  </si>
  <si>
    <t>Myers1970</t>
  </si>
  <si>
    <t xml:space="preserve">36 groups in experimental condition, each of the Myers1970 use three groupings of 12; they say "[g]roup size ranged from four to seven members". I'll use the mean times ngroups, 12x5.5 = 66 per "Prejudice group". </t>
  </si>
  <si>
    <t>MedPrejudice</t>
  </si>
  <si>
    <t>This case is actually not a shift to greater polarization, maybe just consensus finding in a moderate group.</t>
  </si>
  <si>
    <t>HighPrejudice</t>
  </si>
  <si>
    <t>Tetrads-Sports</t>
  </si>
  <si>
    <t>Friedkin1999</t>
  </si>
  <si>
    <t>This paper uses a CDQ scale, but converts to percentage risk measurements. I have converted back using values from ToConvert and the formula in the four data cells to the left. In this first condition's data the distribution for pre-dliberation solutions is highly polarized, which may be actually be reasonable if participants were answering binary initially, but then found consensus and created more nuanced opinions as the deliberation went on.</t>
  </si>
  <si>
    <t>Tetrads-School</t>
  </si>
  <si>
    <t>This case is prima facie a false positive due to the reported shift standard deviation being greater than the average shift, i.e., CI includes zero.</t>
  </si>
  <si>
    <t>Tetrads-Surgery</t>
  </si>
  <si>
    <t>Triads-Sports</t>
  </si>
  <si>
    <t>This case is prima facie a false positive due to the reported shift standard deviation being greater than the average shift, i.e., CI includes zero. Furthermore, the shift is not towards greater extremity in the pre-bias direction, but in the opposite direction. The model was not able to generate a false positive in this case.</t>
  </si>
  <si>
    <t>Triads-School</t>
  </si>
  <si>
    <t>The shift is not towards greater extremity in the pre-bias direction, but in the opposite direction. It's OK in a way, Friedkin labels these "choice shifts" and the paper is meant to study both neutral "choice shifts" such as this one and group polarization, with title "Choice Shift and Group Polarization"</t>
  </si>
  <si>
    <t>Triads-Surgery</t>
  </si>
  <si>
    <t>Dyads-School</t>
  </si>
  <si>
    <t>Dyads-Surgery</t>
  </si>
  <si>
    <t>This case is prima facie a false positive due to the reported shift standard deviation being greater than the average shift, i.e., CI includes zero. Still, the model predicts that within a 0.05 square error that the noted latent mean generates distributions matching the reported data.</t>
  </si>
  <si>
    <t>NoOutgroupScenario1</t>
  </si>
  <si>
    <t>Krizan2007</t>
  </si>
  <si>
    <t>Note that all casesin this study are prima facie false since 66% confidence intervals contain zero shift. N per condition obtained by dividing 83 (total N given on p.194) by 3 (number of conditions to which participants were randomly assigned).</t>
  </si>
  <si>
    <t>NoOutgroupScenario2</t>
  </si>
  <si>
    <t>Pre-deliberation simulated distribution is highly polarized, not necessary a problem.</t>
  </si>
  <si>
    <t>NoOutgroupScenario3</t>
  </si>
  <si>
    <t>NoOutgroupScenario4</t>
  </si>
  <si>
    <t>NoOutgroupScenario5</t>
  </si>
  <si>
    <t>These hillclimb settings generated non-polarized results, may want to try for above, but it doesn't really matter due to the SD overwhelming the mean.</t>
  </si>
  <si>
    <t>OutgroupScenario1</t>
  </si>
  <si>
    <t>OutgroupScenario2</t>
  </si>
  <si>
    <t>OutgroupScenario3</t>
  </si>
  <si>
    <t>OutgroupScenario4</t>
  </si>
  <si>
    <t>OutgroupScenario5</t>
  </si>
  <si>
    <t>Uncategorized1</t>
  </si>
  <si>
    <t>Abrams1990</t>
  </si>
  <si>
    <t>Not technically group polarization since polarity switches.</t>
  </si>
  <si>
    <t>Categorized1</t>
  </si>
  <si>
    <t>Not group polarization.</t>
  </si>
  <si>
    <t>Uncategorized2</t>
  </si>
  <si>
    <t>Categorized2</t>
  </si>
  <si>
    <t>Here only needed to set latent mean to zero and use default SD of 1.5 for both since these parameters yields mean within 0.05 of the two empirically-specified distributions. Not really group polarization.</t>
  </si>
  <si>
    <t>Uncategorized3</t>
  </si>
  <si>
    <t>Resulting distributions are a little weird, shifting from almost fully polarized to extreme towards positive. But since we don't have the data we really don't know what happened among these Kiwi high schoolers.</t>
  </si>
  <si>
    <t>Categorized3</t>
  </si>
  <si>
    <t>Here only needed to set latent mean to zero and use default SD of 1.5 for both since these parameters yields mean within 0.05 of the two empirically-specified distributions.</t>
  </si>
  <si>
    <t>Uncategorized4</t>
  </si>
  <si>
    <t>Categorized4</t>
  </si>
  <si>
    <t>Highly polarized pre-delib. It's OK, go with it, see if it gets filtered by not passing t-test.</t>
  </si>
  <si>
    <t>Uncategorized5</t>
  </si>
  <si>
    <t>Categorized5</t>
  </si>
  <si>
    <t>Highly polarized pre-delib. It's OK, go with it, see if it gets filtered by not passing t-test. Not really group polarization since it starts from center.</t>
  </si>
  <si>
    <t>Cautious-Risky</t>
  </si>
  <si>
    <t>Hogg1990</t>
  </si>
  <si>
    <t>Cautious group, risky tape. Solid FP.  Notes for counting N: authors claim that, for three conditions, there were 19 male, 43 female students randomly assigned to each condition, and that n per condition varied "from 19 to 22", so the third group size must have been 21. I am going to set them randomly.</t>
  </si>
  <si>
    <t>Cautious-Neutral</t>
  </si>
  <si>
    <t>Pre- and post-deliberation means not reported; these hypothetical ones are modestly-shifted towards "caution". Assumed towards caution since I assume these are true group polarization opinion shifts where shift is in direction of initial bias.</t>
  </si>
  <si>
    <t>Cautious-Cautious</t>
  </si>
  <si>
    <t>This condition is expected to yield negative detection, can't be a "false positive"</t>
  </si>
  <si>
    <t>Neutral-Risky</t>
  </si>
  <si>
    <t>Neutral-Neutral</t>
  </si>
  <si>
    <t>Neutral-Cautious</t>
  </si>
  <si>
    <t>Risky-Risky</t>
  </si>
  <si>
    <t>Risky-Neutral</t>
  </si>
  <si>
    <t>Risky-Cautious</t>
  </si>
  <si>
    <t>This one is weird--got the false detection by getting a case where post-deliberation SD is greater than pre-deliberation SD, which is the opposite predicted by the consensus process. Now, Schkade, et al., (2010) found that this never happens, but this is a different experimental design and we just really don't know. I'm leaving it as TRUE, but it should include a footnote.</t>
  </si>
  <si>
    <t>Bad-Experimental</t>
  </si>
  <si>
    <t>Myers1975</t>
  </si>
  <si>
    <t>Got successes, but with highly polarized initial distributions, which are unlikely in this condition since it's been designed to give the description of a "bad teacher" who no one would think is a 10/10 good. Finding N per condition: "98...[participated] in the experiment", and "half of the 47 experimental subjects came to each of the two experimental sessions" meaning that 23 or 24 participated in each, apparently.</t>
  </si>
  <si>
    <t>Good-Experimental</t>
  </si>
  <si>
    <t>Chauvinists-Experimental</t>
  </si>
  <si>
    <t>This shift is not claimed to be significant, ignoring this condition.</t>
  </si>
  <si>
    <t>Feminists-Experimental</t>
  </si>
  <si>
    <t>Experimental</t>
  </si>
  <si>
    <t>Burnstein1975</t>
  </si>
  <si>
    <t>This is a case where only the shift is reported. I picked two numbers I thought would work. It seems the 95% confidence interval around shift SD would include zero.</t>
  </si>
  <si>
    <t>A</t>
  </si>
  <si>
    <t>Burnstein1973</t>
  </si>
  <si>
    <t>These are for Experiment I, ambiguous-for, which matches the experimental conditions of other group polarization studies. Other conditions were not expected to yield group polarization shifts in the first place. This ambiguous-for data comes from Experiment I, which had "149 male students" (p. 127-8)</t>
  </si>
  <si>
    <t>B</t>
  </si>
  <si>
    <t>E</t>
  </si>
  <si>
    <t>Solid false positive.</t>
  </si>
  <si>
    <t>F</t>
  </si>
  <si>
    <t>H</t>
  </si>
</sst>
</file>

<file path=xl/styles.xml><?xml version="1.0" encoding="utf-8"?>
<styleSheet xmlns="http://purl.oclc.org/ooxml/spreadsheetml/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
      <sz val="12"/>
      <color theme="8" tint="-0.249977111117893"/>
      <name val="Aptos Narrow"/>
      <family val="2"/>
      <scheme val="minor"/>
    </font>
    <font>
      <sz val="12"/>
      <color theme="0" tint="-0.14999847407452621"/>
      <name val="Aptos Narrow"/>
      <family val="2"/>
      <scheme val="minor"/>
    </font>
    <font>
      <b/>
      <sz val="12"/>
      <color theme="1"/>
      <name val="Aptos Narrow"/>
      <scheme val="minor"/>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8" tint="0.79998168889431442"/>
        <bgColor indexed="64"/>
      </patternFill>
    </fill>
    <fill>
      <patternFill patternType="solid">
        <fgColor rgb="FFF21C0C"/>
        <bgColor indexed="64"/>
      </patternFill>
    </fill>
    <fill>
      <patternFill patternType="solid">
        <fgColor theme="7" tint="0.59999389629810485"/>
        <bgColor indexed="64"/>
      </patternFill>
    </fill>
    <fill>
      <patternFill patternType="solid">
        <fgColor theme="9" tint="0.79998168889431442"/>
        <bgColor indexed="64"/>
      </patternFill>
    </fill>
  </fills>
  <borders count="10">
    <border>
      <start/>
      <end/>
      <top/>
      <bottom/>
      <diagonal/>
    </border>
    <border>
      <start/>
      <end/>
      <top/>
      <bottom style="thick">
        <color theme="4"/>
      </bottom>
      <diagonal/>
    </border>
    <border>
      <start/>
      <end/>
      <top/>
      <bottom style="thick">
        <color theme="4" tint="0.499984740745262"/>
      </bottom>
      <diagonal/>
    </border>
    <border>
      <start/>
      <end/>
      <top/>
      <bottom style="medium">
        <color theme="4" tint="0.39997558519241921"/>
      </bottom>
      <diagonal/>
    </border>
    <border>
      <start style="thin">
        <color rgb="FF7F7F7F"/>
      </start>
      <end style="thin">
        <color rgb="FF7F7F7F"/>
      </end>
      <top style="thin">
        <color rgb="FF7F7F7F"/>
      </top>
      <bottom style="thin">
        <color rgb="FF7F7F7F"/>
      </bottom>
      <diagonal/>
    </border>
    <border>
      <start style="thin">
        <color rgb="FF3F3F3F"/>
      </start>
      <end style="thin">
        <color rgb="FF3F3F3F"/>
      </end>
      <top style="thin">
        <color rgb="FF3F3F3F"/>
      </top>
      <bottom style="thin">
        <color rgb="FF3F3F3F"/>
      </bottom>
      <diagonal/>
    </border>
    <border>
      <start/>
      <end/>
      <top/>
      <bottom style="double">
        <color rgb="FFFF8001"/>
      </bottom>
      <diagonal/>
    </border>
    <border>
      <start style="double">
        <color rgb="FF3F3F3F"/>
      </start>
      <end style="double">
        <color rgb="FF3F3F3F"/>
      </end>
      <top style="double">
        <color rgb="FF3F3F3F"/>
      </top>
      <bottom style="double">
        <color rgb="FF3F3F3F"/>
      </bottom>
      <diagonal/>
    </border>
    <border>
      <start style="thin">
        <color rgb="FFB2B2B2"/>
      </start>
      <end style="thin">
        <color rgb="FFB2B2B2"/>
      </end>
      <top style="thin">
        <color rgb="FFB2B2B2"/>
      </top>
      <bottom style="thin">
        <color rgb="FFB2B2B2"/>
      </bottom>
      <diagonal/>
    </border>
    <border>
      <start/>
      <end/>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11" fontId="0" fillId="0" borderId="0" xfId="0" applyNumberFormat="1"/>
    <xf numFmtId="0" fontId="18" fillId="33" borderId="0" xfId="0" applyFont="1" applyFill="1"/>
    <xf numFmtId="0" fontId="19" fillId="34" borderId="0" xfId="0" applyFont="1" applyFill="1"/>
    <xf numFmtId="0" fontId="0" fillId="34" borderId="0" xfId="0" applyFill="1"/>
    <xf numFmtId="0" fontId="20" fillId="0" borderId="0" xfId="0" applyFont="1"/>
    <xf numFmtId="0" fontId="0" fillId="35" borderId="0" xfId="0" applyFill="1"/>
    <xf numFmtId="11" fontId="0" fillId="35" borderId="0" xfId="0" applyNumberFormat="1" applyFill="1"/>
    <xf numFmtId="0" fontId="0" fillId="36" borderId="0" xfId="0" applyFill="1"/>
    <xf numFmtId="11" fontId="0" fillId="36" borderId="0" xfId="0" applyNumberFormat="1"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font>
        <color rgb="FF9C0006"/>
      </font>
      <fill>
        <patternFill>
          <bgColor rgb="FFFFC7CE"/>
        </patternFill>
      </fill>
    </dxf>
  </dxfs>
  <tableStyles count="0" defaultTableStyle="TableStyleMedium2" defaultPivotStyle="PivotStyleLight16"/>
  <colors>
    <mruColors>
      <color rgb="FFF21C0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purl.oclc.org/ooxml/officeDocument/relationships/styles" Target="styles.xml"/><Relationship Id="rId2" Type="http://purl.oclc.org/ooxml/officeDocument/relationships/theme" Target="theme/theme1.xml"/><Relationship Id="rId1" Type="http://purl.oclc.org/ooxml/officeDocument/relationships/worksheet" Target="worksheets/sheet1.xml"/><Relationship Id="rId4" Type="http://purl.oclc.org/ooxml/officeDocument/relationships/sharedStrings" Target="sharedStrings.xml"/></Relationships>
</file>

<file path=xl/theme/theme1.xml><?xml version="1.0" encoding="utf-8"?>
<a:theme xmlns:a="http://purl.oclc.org/ooxml/drawingml/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
                <a:satMod val="105%"/>
                <a:tint val="67%"/>
              </a:schemeClr>
            </a:gs>
            <a:gs pos="50%">
              <a:schemeClr val="phClr">
                <a:lumMod val="105%"/>
                <a:satMod val="103%"/>
                <a:tint val="73%"/>
              </a:schemeClr>
            </a:gs>
            <a:gs pos="100%">
              <a:schemeClr val="phClr">
                <a:lumMod val="105%"/>
                <a:satMod val="109%"/>
                <a:tint val="81%"/>
              </a:schemeClr>
            </a:gs>
          </a:gsLst>
          <a:lin ang="5400000" scaled="0"/>
        </a:gradFill>
        <a:gradFill rotWithShape="1">
          <a:gsLst>
            <a:gs pos="0%">
              <a:schemeClr val="phClr">
                <a:satMod val="103%"/>
                <a:lumMod val="102%"/>
                <a:tint val="94%"/>
              </a:schemeClr>
            </a:gs>
            <a:gs pos="50%">
              <a:schemeClr val="phClr">
                <a:satMod val="110%"/>
                <a:lumMod val="100%"/>
                <a:shade val="100%"/>
              </a:schemeClr>
            </a:gs>
            <a:gs pos="100%">
              <a:schemeClr val="phClr">
                <a:lumMod val="99%"/>
                <a:satMod val="120%"/>
                <a:shade val="78%"/>
              </a:schemeClr>
            </a:gs>
          </a:gsLst>
          <a:lin ang="5400000" scaled="0"/>
        </a:gradFill>
      </a:fillStyleLst>
      <a:lnStyleLst>
        <a:ln w="12700" cap="flat" cmpd="sng" algn="ctr">
          <a:solidFill>
            <a:schemeClr val="phClr"/>
          </a:solidFill>
          <a:prstDash val="solid"/>
          <a:miter lim="800%"/>
        </a:ln>
        <a:ln w="19050" cap="flat" cmpd="sng" algn="ctr">
          <a:solidFill>
            <a:schemeClr val="phClr"/>
          </a:solidFill>
          <a:prstDash val="solid"/>
          <a:miter lim="800%"/>
        </a:ln>
        <a:ln w="25400" cap="flat" cmpd="sng" algn="ctr">
          <a:solidFill>
            <a:schemeClr val="phClr"/>
          </a:solidFill>
          <a:prstDash val="solid"/>
          <a:miter lim="800%"/>
        </a:ln>
      </a:lnStyleLst>
      <a:effectStyleLst>
        <a:effectStyle>
          <a:effectLst/>
        </a:effectStyle>
        <a:effectStyle>
          <a:effectLst/>
        </a:effectStyle>
        <a:effectStyle>
          <a:effectLst>
            <a:outerShdw blurRad="57150" dist="19050" dir="5400000" algn="ctr" rotWithShape="0">
              <a:srgbClr val="000000">
                <a:alpha val="63%"/>
              </a:srgbClr>
            </a:outerShdw>
          </a:effectLst>
        </a:effectStyle>
      </a:effectStyleLst>
      <a:bgFillStyleLst>
        <a:solidFill>
          <a:schemeClr val="phClr"/>
        </a:solidFill>
        <a:solidFill>
          <a:schemeClr val="phClr">
            <a:tint val="95%"/>
            <a:satMod val="170%"/>
          </a:schemeClr>
        </a:solidFill>
        <a:gradFill rotWithShape="1">
          <a:gsLst>
            <a:gs pos="0%">
              <a:schemeClr val="phClr">
                <a:tint val="93%"/>
                <a:satMod val="150%"/>
                <a:shade val="98%"/>
                <a:lumMod val="102%"/>
              </a:schemeClr>
            </a:gs>
            <a:gs pos="50%">
              <a:schemeClr val="phClr">
                <a:tint val="98%"/>
                <a:satMod val="130%"/>
                <a:shade val="90%"/>
                <a:lumMod val="103%"/>
              </a:schemeClr>
            </a:gs>
            <a:gs pos="100%">
              <a:schemeClr val="phClr">
                <a:shade val="63%"/>
                <a:satMod val="12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A9D91A-08D2-B24C-9D0F-D8C217A4413A}">
  <dimension ref="A1:U64"/>
  <sheetViews>
    <sheetView tabSelected="1" workbookViewId="0">
      <selection activeCell="A8" sqref="A8:XFD8"/>
    </sheetView>
  </sheetViews>
  <sheetFormatPr baseColWidth="10" defaultRowHeight="16" x14ac:dyDescent="0.2"/>
  <cols>
    <col min="1" max="1" width="25" customWidth="1"/>
    <col min="2" max="2" width="19.1640625" customWidth="1"/>
    <col min="3" max="3" width="17.33203125" customWidth="1"/>
    <col min="4" max="4" width="16.33203125" customWidth="1"/>
    <col min="5" max="5" width="17.83203125" customWidth="1"/>
    <col min="6" max="6" width="19.5" customWidth="1"/>
    <col min="7" max="7" width="14.6640625" customWidth="1"/>
    <col min="8" max="8" width="16.5" customWidth="1"/>
    <col min="13" max="13" width="20.6640625" customWidth="1"/>
    <col min="14" max="14" width="24" customWidth="1"/>
  </cols>
  <sheetData>
    <row r="1" spans="1:21" s="5" customFormat="1" x14ac:dyDescent="0.2">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row>
    <row r="2" spans="1:21" s="2" customFormat="1" x14ac:dyDescent="0.2">
      <c r="A2" s="2" t="s">
        <v>21</v>
      </c>
      <c r="B2" s="2" t="s">
        <v>22</v>
      </c>
      <c r="C2" s="2">
        <v>7.5356666629999998</v>
      </c>
      <c r="D2" s="2">
        <v>0.93286565799999999</v>
      </c>
      <c r="E2" s="2">
        <v>5.81</v>
      </c>
      <c r="F2" s="2">
        <v>6.38</v>
      </c>
      <c r="G2" s="2">
        <v>0.56999999999999995</v>
      </c>
      <c r="H2" s="2" t="s">
        <v>23</v>
      </c>
      <c r="I2" s="2">
        <v>32</v>
      </c>
      <c r="J2" s="2">
        <v>6.2</v>
      </c>
      <c r="K2" s="2">
        <v>0.05</v>
      </c>
      <c r="L2" s="2">
        <v>0.05</v>
      </c>
      <c r="M2" s="2">
        <v>4.5230770000000003E-3</v>
      </c>
      <c r="N2" s="2">
        <v>-0.180002035</v>
      </c>
      <c r="O2" s="2">
        <v>1</v>
      </c>
      <c r="P2" s="2">
        <v>10</v>
      </c>
      <c r="Q2" s="2" t="b">
        <v>1</v>
      </c>
      <c r="R2" s="2">
        <v>1</v>
      </c>
      <c r="S2" s="2" t="b">
        <v>1</v>
      </c>
      <c r="T2" s="2">
        <v>1</v>
      </c>
      <c r="U2" s="2" t="s">
        <v>24</v>
      </c>
    </row>
    <row r="3" spans="1:21" x14ac:dyDescent="0.2">
      <c r="A3" t="s">
        <v>25</v>
      </c>
      <c r="B3" t="s">
        <v>22</v>
      </c>
      <c r="C3">
        <v>3.874399317</v>
      </c>
      <c r="D3">
        <v>0.48893452199999998</v>
      </c>
      <c r="E3">
        <v>2.84</v>
      </c>
      <c r="F3">
        <v>1.61</v>
      </c>
      <c r="G3">
        <v>-1.23</v>
      </c>
      <c r="H3" t="s">
        <v>23</v>
      </c>
      <c r="I3">
        <v>31</v>
      </c>
      <c r="J3">
        <v>1.6</v>
      </c>
      <c r="K3">
        <v>0.05</v>
      </c>
      <c r="L3">
        <v>1E-3</v>
      </c>
      <c r="M3">
        <v>-4.07539E-4</v>
      </c>
      <c r="N3">
        <v>3.9098939999999997E-3</v>
      </c>
      <c r="O3">
        <v>1</v>
      </c>
      <c r="P3">
        <v>10</v>
      </c>
      <c r="Q3" t="b">
        <v>1</v>
      </c>
      <c r="R3">
        <v>1</v>
      </c>
      <c r="S3" t="b">
        <v>1</v>
      </c>
      <c r="T3">
        <v>1</v>
      </c>
    </row>
    <row r="4" spans="1:21" x14ac:dyDescent="0.2">
      <c r="A4" t="s">
        <v>26</v>
      </c>
      <c r="B4" t="s">
        <v>22</v>
      </c>
      <c r="C4">
        <v>1.4247432360000001</v>
      </c>
      <c r="D4">
        <v>0.200932784</v>
      </c>
      <c r="E4">
        <v>9.2200000000000006</v>
      </c>
      <c r="F4">
        <v>9.69</v>
      </c>
      <c r="G4">
        <v>0.47</v>
      </c>
      <c r="H4" t="s">
        <v>23</v>
      </c>
      <c r="I4">
        <v>32</v>
      </c>
      <c r="J4">
        <v>9.6</v>
      </c>
      <c r="K4">
        <v>0.05</v>
      </c>
      <c r="L4" s="1">
        <v>1.0000000000000001E-5</v>
      </c>
      <c r="M4">
        <v>7.2518099999999998E-4</v>
      </c>
      <c r="N4">
        <v>6.4477499999999999E-4</v>
      </c>
      <c r="O4">
        <v>1</v>
      </c>
      <c r="P4">
        <v>10</v>
      </c>
      <c r="Q4" t="b">
        <v>1</v>
      </c>
      <c r="R4">
        <v>1</v>
      </c>
      <c r="S4" t="b">
        <v>1</v>
      </c>
      <c r="T4">
        <v>1</v>
      </c>
    </row>
    <row r="5" spans="1:21" x14ac:dyDescent="0.2">
      <c r="A5" t="s">
        <v>27</v>
      </c>
      <c r="B5" t="s">
        <v>22</v>
      </c>
      <c r="C5">
        <v>1.847694435</v>
      </c>
      <c r="D5">
        <v>0.417290247</v>
      </c>
      <c r="E5">
        <v>2.48</v>
      </c>
      <c r="F5">
        <v>2.19</v>
      </c>
      <c r="G5">
        <v>-0.28999999999999998</v>
      </c>
      <c r="H5" t="s">
        <v>23</v>
      </c>
      <c r="I5">
        <v>31</v>
      </c>
      <c r="J5">
        <v>2.2000000000000002</v>
      </c>
      <c r="K5">
        <v>0.05</v>
      </c>
      <c r="L5">
        <v>1E-3</v>
      </c>
      <c r="M5" s="1">
        <v>1.31E-5</v>
      </c>
      <c r="N5">
        <v>2.8914199999999999E-4</v>
      </c>
      <c r="O5">
        <v>1</v>
      </c>
      <c r="P5">
        <v>10</v>
      </c>
      <c r="Q5" t="b">
        <v>1</v>
      </c>
      <c r="R5">
        <v>1</v>
      </c>
      <c r="S5" t="b">
        <v>1</v>
      </c>
      <c r="T5">
        <v>1</v>
      </c>
    </row>
    <row r="6" spans="1:21" x14ac:dyDescent="0.2">
      <c r="A6" t="s">
        <v>28</v>
      </c>
      <c r="B6" t="s">
        <v>22</v>
      </c>
      <c r="C6">
        <v>1.3392340300000001</v>
      </c>
      <c r="D6">
        <v>0.63584889</v>
      </c>
      <c r="E6">
        <v>9.19</v>
      </c>
      <c r="F6">
        <v>9.44</v>
      </c>
      <c r="G6">
        <v>0.25</v>
      </c>
      <c r="H6" t="s">
        <v>23</v>
      </c>
      <c r="I6">
        <v>32</v>
      </c>
      <c r="J6">
        <v>9.5</v>
      </c>
      <c r="K6">
        <v>0.04</v>
      </c>
      <c r="L6">
        <v>0.01</v>
      </c>
      <c r="M6">
        <v>6.5830999999999995E-4</v>
      </c>
      <c r="N6">
        <v>1.275446E-3</v>
      </c>
      <c r="O6">
        <v>1</v>
      </c>
      <c r="P6">
        <v>10</v>
      </c>
      <c r="Q6" t="b">
        <v>1</v>
      </c>
      <c r="R6">
        <v>1</v>
      </c>
      <c r="S6" t="b">
        <v>1</v>
      </c>
      <c r="T6">
        <v>1</v>
      </c>
    </row>
    <row r="7" spans="1:21" s="2" customFormat="1" x14ac:dyDescent="0.2">
      <c r="A7" s="2" t="s">
        <v>29</v>
      </c>
      <c r="B7" s="2" t="s">
        <v>22</v>
      </c>
      <c r="C7" s="2" t="s">
        <v>23</v>
      </c>
      <c r="D7" s="2" t="s">
        <v>23</v>
      </c>
      <c r="E7" s="2">
        <v>5.13</v>
      </c>
      <c r="F7" s="2">
        <v>2.97</v>
      </c>
      <c r="G7" s="2">
        <v>-2.16</v>
      </c>
      <c r="H7" s="2" t="s">
        <v>23</v>
      </c>
      <c r="I7" s="2">
        <v>31</v>
      </c>
      <c r="J7" s="2" t="s">
        <v>23</v>
      </c>
      <c r="K7" s="2" t="s">
        <v>23</v>
      </c>
      <c r="L7" s="2" t="s">
        <v>23</v>
      </c>
      <c r="M7" s="2" t="s">
        <v>23</v>
      </c>
      <c r="N7" s="2" t="s">
        <v>23</v>
      </c>
      <c r="O7" s="2">
        <v>1</v>
      </c>
      <c r="P7" s="2">
        <v>10</v>
      </c>
      <c r="Q7" s="2" t="b">
        <v>0</v>
      </c>
      <c r="R7" s="2">
        <v>0</v>
      </c>
      <c r="S7" s="2" t="b">
        <v>1</v>
      </c>
      <c r="T7" s="2">
        <v>1</v>
      </c>
      <c r="U7" s="2" t="s">
        <v>30</v>
      </c>
    </row>
    <row r="8" spans="1:21" s="8" customFormat="1" x14ac:dyDescent="0.2">
      <c r="A8" s="8" t="s">
        <v>31</v>
      </c>
      <c r="B8" s="8" t="s">
        <v>32</v>
      </c>
      <c r="C8" s="8">
        <v>4.3214805470000002</v>
      </c>
      <c r="D8" s="8">
        <v>1.897926743</v>
      </c>
      <c r="E8" s="8">
        <v>-0.61</v>
      </c>
      <c r="F8" s="8">
        <v>-1.04</v>
      </c>
      <c r="G8" s="8">
        <v>-0.43</v>
      </c>
      <c r="H8" s="8" t="s">
        <v>23</v>
      </c>
      <c r="I8" s="8">
        <v>140</v>
      </c>
      <c r="J8" s="8">
        <v>-1.2</v>
      </c>
      <c r="K8" s="8">
        <v>0.05</v>
      </c>
      <c r="L8" s="9">
        <v>1.0000000000000001E-5</v>
      </c>
      <c r="M8" s="8">
        <v>5.7874900000000004E-4</v>
      </c>
      <c r="N8" s="8">
        <v>4.88679E-4</v>
      </c>
      <c r="O8" s="8">
        <v>-3</v>
      </c>
      <c r="P8" s="8">
        <v>3</v>
      </c>
      <c r="Q8" s="8" t="b">
        <v>1</v>
      </c>
      <c r="R8" s="8">
        <v>1</v>
      </c>
      <c r="S8" s="8" t="b">
        <v>1</v>
      </c>
      <c r="T8" s="8">
        <v>1</v>
      </c>
      <c r="U8" s="8" t="s">
        <v>33</v>
      </c>
    </row>
    <row r="9" spans="1:21" x14ac:dyDescent="0.2">
      <c r="A9" t="s">
        <v>34</v>
      </c>
      <c r="B9" t="s">
        <v>32</v>
      </c>
      <c r="C9">
        <v>2.5279878880000002</v>
      </c>
      <c r="D9">
        <v>0.97456399199999999</v>
      </c>
      <c r="E9">
        <v>0.9</v>
      </c>
      <c r="F9">
        <v>1.19</v>
      </c>
      <c r="G9">
        <v>0.28999999999999998</v>
      </c>
      <c r="H9" t="s">
        <v>23</v>
      </c>
      <c r="I9">
        <v>140</v>
      </c>
      <c r="J9">
        <v>1.2</v>
      </c>
      <c r="K9">
        <v>0.05</v>
      </c>
      <c r="L9">
        <v>1E-3</v>
      </c>
      <c r="M9">
        <v>3.3852600000000002E-4</v>
      </c>
      <c r="N9">
        <v>5.0440100000000002E-4</v>
      </c>
      <c r="O9">
        <v>-3</v>
      </c>
      <c r="P9">
        <v>3</v>
      </c>
      <c r="Q9" t="b">
        <v>1</v>
      </c>
      <c r="R9">
        <v>1</v>
      </c>
      <c r="S9" t="b">
        <v>1</v>
      </c>
      <c r="T9">
        <v>1</v>
      </c>
      <c r="U9" t="s">
        <v>33</v>
      </c>
    </row>
    <row r="10" spans="1:21" x14ac:dyDescent="0.2">
      <c r="A10" t="s">
        <v>35</v>
      </c>
      <c r="B10" t="s">
        <v>32</v>
      </c>
      <c r="C10">
        <v>2.2485079039999998</v>
      </c>
      <c r="D10">
        <v>1.0610840050000001</v>
      </c>
      <c r="E10">
        <v>5.53</v>
      </c>
      <c r="F10">
        <v>5.91</v>
      </c>
      <c r="G10">
        <v>0.38</v>
      </c>
      <c r="H10" t="s">
        <v>23</v>
      </c>
      <c r="I10">
        <v>140</v>
      </c>
      <c r="J10">
        <v>6</v>
      </c>
      <c r="K10">
        <v>0.05</v>
      </c>
      <c r="L10">
        <v>1E-3</v>
      </c>
      <c r="M10">
        <v>2.0843429999999998E-3</v>
      </c>
      <c r="N10">
        <v>1.535898E-3</v>
      </c>
      <c r="O10">
        <v>1</v>
      </c>
      <c r="P10">
        <v>7</v>
      </c>
      <c r="Q10" t="b">
        <v>1</v>
      </c>
      <c r="R10">
        <v>1</v>
      </c>
      <c r="S10" t="b">
        <v>1</v>
      </c>
      <c r="T10">
        <v>1</v>
      </c>
      <c r="U10" t="s">
        <v>33</v>
      </c>
    </row>
    <row r="11" spans="1:21" x14ac:dyDescent="0.2">
      <c r="A11" t="s">
        <v>36</v>
      </c>
      <c r="B11" t="s">
        <v>32</v>
      </c>
      <c r="C11">
        <v>1.9995323970000001</v>
      </c>
      <c r="D11">
        <v>1.0393127200000001</v>
      </c>
      <c r="E11">
        <v>2.25</v>
      </c>
      <c r="F11">
        <v>1.92</v>
      </c>
      <c r="G11">
        <v>-0.37</v>
      </c>
      <c r="H11" t="s">
        <v>23</v>
      </c>
      <c r="I11">
        <v>140</v>
      </c>
      <c r="J11">
        <v>1.8</v>
      </c>
      <c r="K11">
        <v>0.05</v>
      </c>
      <c r="L11">
        <v>1E-3</v>
      </c>
      <c r="M11">
        <v>3.3328999999999998E-4</v>
      </c>
      <c r="N11">
        <v>-2.8588799999999998E-4</v>
      </c>
      <c r="O11">
        <v>1</v>
      </c>
      <c r="P11">
        <v>7</v>
      </c>
      <c r="Q11" t="b">
        <v>1</v>
      </c>
      <c r="R11">
        <v>1</v>
      </c>
      <c r="S11" t="b">
        <v>1</v>
      </c>
      <c r="T11">
        <v>1</v>
      </c>
      <c r="U11" t="s">
        <v>33</v>
      </c>
    </row>
    <row r="12" spans="1:21" x14ac:dyDescent="0.2">
      <c r="A12" t="s">
        <v>37</v>
      </c>
      <c r="B12" t="s">
        <v>38</v>
      </c>
      <c r="C12">
        <v>5.7391845879999996</v>
      </c>
      <c r="D12">
        <v>1.5</v>
      </c>
      <c r="E12">
        <v>2.94</v>
      </c>
      <c r="F12">
        <v>3.41</v>
      </c>
      <c r="G12">
        <v>0.47</v>
      </c>
      <c r="H12" t="s">
        <v>23</v>
      </c>
      <c r="I12">
        <v>66</v>
      </c>
      <c r="J12">
        <v>3.41</v>
      </c>
      <c r="K12">
        <v>0.06</v>
      </c>
      <c r="L12">
        <v>0.01</v>
      </c>
      <c r="M12">
        <v>4.2071600000000002E-4</v>
      </c>
      <c r="N12" s="1">
        <v>-2.5700000000000001E-5</v>
      </c>
      <c r="O12">
        <v>-9</v>
      </c>
      <c r="P12">
        <v>9</v>
      </c>
      <c r="Q12" t="b">
        <v>1</v>
      </c>
      <c r="R12">
        <v>1</v>
      </c>
      <c r="S12" t="b">
        <v>1</v>
      </c>
      <c r="T12">
        <v>1</v>
      </c>
      <c r="U12" t="s">
        <v>39</v>
      </c>
    </row>
    <row r="13" spans="1:21" s="3" customFormat="1" x14ac:dyDescent="0.2">
      <c r="A13" s="3" t="s">
        <v>40</v>
      </c>
      <c r="B13" s="3" t="s">
        <v>38</v>
      </c>
      <c r="C13" s="3" t="s">
        <v>23</v>
      </c>
      <c r="D13" s="3" t="s">
        <v>23</v>
      </c>
      <c r="E13" s="3">
        <v>1.3</v>
      </c>
      <c r="F13" s="3">
        <v>0.67</v>
      </c>
      <c r="G13" s="3">
        <v>-0.63</v>
      </c>
      <c r="H13" s="3" t="s">
        <v>23</v>
      </c>
      <c r="I13" s="3">
        <v>66</v>
      </c>
      <c r="J13" s="3" t="s">
        <v>23</v>
      </c>
      <c r="K13" s="3" t="s">
        <v>23</v>
      </c>
      <c r="L13" s="3" t="s">
        <v>23</v>
      </c>
      <c r="M13" s="3" t="s">
        <v>23</v>
      </c>
      <c r="N13" s="3" t="s">
        <v>23</v>
      </c>
      <c r="O13" s="3">
        <v>-9</v>
      </c>
      <c r="P13" s="3">
        <v>9</v>
      </c>
      <c r="Q13" s="3" t="b">
        <v>0</v>
      </c>
      <c r="R13" s="3">
        <v>0</v>
      </c>
      <c r="S13" s="3" t="b">
        <v>0</v>
      </c>
      <c r="T13" s="3">
        <v>0</v>
      </c>
      <c r="U13" s="4" t="s">
        <v>41</v>
      </c>
    </row>
    <row r="14" spans="1:21" x14ac:dyDescent="0.2">
      <c r="A14" t="s">
        <v>42</v>
      </c>
      <c r="B14" t="s">
        <v>38</v>
      </c>
      <c r="C14">
        <v>11.401540170000001</v>
      </c>
      <c r="D14">
        <v>1.5</v>
      </c>
      <c r="E14">
        <v>-1.7</v>
      </c>
      <c r="F14">
        <v>-3.01</v>
      </c>
      <c r="G14">
        <v>-1.31</v>
      </c>
      <c r="H14" t="s">
        <v>23</v>
      </c>
      <c r="I14">
        <v>66</v>
      </c>
      <c r="J14">
        <v>-3.01</v>
      </c>
      <c r="K14">
        <v>0.05</v>
      </c>
      <c r="L14">
        <v>1E-3</v>
      </c>
      <c r="M14">
        <v>-4.4795499999999999E-4</v>
      </c>
      <c r="N14" s="1">
        <v>7.8699999999999992E-6</v>
      </c>
      <c r="O14">
        <v>-9</v>
      </c>
      <c r="P14">
        <v>9</v>
      </c>
      <c r="Q14" t="b">
        <v>1</v>
      </c>
      <c r="R14">
        <v>1</v>
      </c>
      <c r="S14" t="b">
        <v>1</v>
      </c>
      <c r="T14">
        <v>1</v>
      </c>
    </row>
    <row r="15" spans="1:21" x14ac:dyDescent="0.2">
      <c r="A15" t="s">
        <v>43</v>
      </c>
      <c r="B15" t="s">
        <v>44</v>
      </c>
      <c r="C15">
        <v>17.050142820000001</v>
      </c>
      <c r="D15">
        <v>1.5</v>
      </c>
      <c r="E15">
        <v>9.74</v>
      </c>
      <c r="F15">
        <v>8.82</v>
      </c>
      <c r="G15">
        <v>1.72</v>
      </c>
      <c r="H15">
        <v>1.5720000000000001</v>
      </c>
      <c r="I15">
        <v>200</v>
      </c>
      <c r="J15">
        <v>8.6999999999999993</v>
      </c>
      <c r="K15">
        <v>0.5</v>
      </c>
      <c r="L15">
        <v>0.05</v>
      </c>
      <c r="M15">
        <v>5.0098600000000003E-4</v>
      </c>
      <c r="N15">
        <v>-0.11999997699999999</v>
      </c>
      <c r="O15">
        <v>1</v>
      </c>
      <c r="P15">
        <v>20</v>
      </c>
      <c r="Q15" t="b">
        <v>1</v>
      </c>
      <c r="R15">
        <v>1</v>
      </c>
      <c r="S15" t="b">
        <v>1</v>
      </c>
      <c r="T15">
        <v>1</v>
      </c>
      <c r="U15" t="s">
        <v>45</v>
      </c>
    </row>
    <row r="16" spans="1:21" x14ac:dyDescent="0.2">
      <c r="A16" t="s">
        <v>46</v>
      </c>
      <c r="B16" t="s">
        <v>44</v>
      </c>
      <c r="C16">
        <v>1.5</v>
      </c>
      <c r="D16">
        <v>1.5</v>
      </c>
      <c r="E16">
        <v>9.3059999999999992</v>
      </c>
      <c r="F16">
        <v>9.16</v>
      </c>
      <c r="G16">
        <v>1.736</v>
      </c>
      <c r="H16">
        <v>1.8520000000000001</v>
      </c>
      <c r="I16">
        <v>200</v>
      </c>
      <c r="J16">
        <v>9.1</v>
      </c>
      <c r="K16">
        <v>0.5</v>
      </c>
      <c r="L16">
        <v>0.05</v>
      </c>
      <c r="M16">
        <v>-0.20599999499999999</v>
      </c>
      <c r="N16">
        <v>-5.9999995E-2</v>
      </c>
      <c r="O16">
        <v>1</v>
      </c>
      <c r="P16">
        <v>20</v>
      </c>
      <c r="Q16" t="b">
        <v>1</v>
      </c>
      <c r="R16">
        <v>1</v>
      </c>
      <c r="S16" t="b">
        <v>1</v>
      </c>
      <c r="T16">
        <v>1</v>
      </c>
      <c r="U16" t="s">
        <v>47</v>
      </c>
    </row>
    <row r="17" spans="1:21" x14ac:dyDescent="0.2">
      <c r="A17" t="s">
        <v>48</v>
      </c>
      <c r="B17" t="s">
        <v>44</v>
      </c>
      <c r="C17">
        <v>1.5</v>
      </c>
      <c r="D17">
        <v>1.5</v>
      </c>
      <c r="E17">
        <v>13.62</v>
      </c>
      <c r="F17">
        <v>13.81</v>
      </c>
      <c r="G17">
        <v>1.25</v>
      </c>
      <c r="H17">
        <v>0.91</v>
      </c>
      <c r="I17">
        <v>200</v>
      </c>
      <c r="J17">
        <v>13.8</v>
      </c>
      <c r="K17">
        <v>0.5</v>
      </c>
      <c r="L17">
        <v>1E-3</v>
      </c>
      <c r="M17">
        <v>0.179995882</v>
      </c>
      <c r="N17">
        <v>-1.0004117999999999E-2</v>
      </c>
      <c r="O17">
        <v>1</v>
      </c>
      <c r="P17">
        <v>20</v>
      </c>
      <c r="Q17" t="b">
        <v>1</v>
      </c>
      <c r="R17">
        <v>1</v>
      </c>
      <c r="S17" t="b">
        <v>1</v>
      </c>
      <c r="T17">
        <v>1</v>
      </c>
    </row>
    <row r="18" spans="1:21" x14ac:dyDescent="0.2">
      <c r="A18" t="s">
        <v>49</v>
      </c>
      <c r="B18" t="s">
        <v>44</v>
      </c>
      <c r="C18">
        <v>1.5</v>
      </c>
      <c r="D18">
        <v>1.5</v>
      </c>
      <c r="E18">
        <v>10.532</v>
      </c>
      <c r="F18">
        <v>9.4480000000000004</v>
      </c>
      <c r="G18">
        <v>1.6879999999999999</v>
      </c>
      <c r="H18">
        <v>1.8919999999999999</v>
      </c>
      <c r="I18">
        <v>96</v>
      </c>
      <c r="J18">
        <v>9.4</v>
      </c>
      <c r="K18">
        <v>0.01</v>
      </c>
      <c r="L18">
        <v>5.0000000000000001E-3</v>
      </c>
      <c r="M18">
        <v>-1.131999998</v>
      </c>
      <c r="N18">
        <v>-4.7999998000000002E-2</v>
      </c>
      <c r="O18">
        <v>1</v>
      </c>
      <c r="P18">
        <v>20</v>
      </c>
      <c r="Q18" t="b">
        <v>1</v>
      </c>
      <c r="R18">
        <v>1</v>
      </c>
      <c r="S18" t="b">
        <v>1</v>
      </c>
      <c r="T18">
        <v>1</v>
      </c>
      <c r="U18" t="s">
        <v>50</v>
      </c>
    </row>
    <row r="19" spans="1:21" x14ac:dyDescent="0.2">
      <c r="A19" t="s">
        <v>51</v>
      </c>
      <c r="B19" t="s">
        <v>44</v>
      </c>
      <c r="C19">
        <v>1.5</v>
      </c>
      <c r="D19">
        <v>1.5</v>
      </c>
      <c r="E19">
        <v>10.968</v>
      </c>
      <c r="F19">
        <v>10.843999999999999</v>
      </c>
      <c r="G19">
        <v>1.5</v>
      </c>
      <c r="H19">
        <v>1.226</v>
      </c>
      <c r="I19">
        <v>96</v>
      </c>
      <c r="J19">
        <v>10.9</v>
      </c>
      <c r="K19">
        <v>0.5</v>
      </c>
      <c r="L19">
        <v>0.05</v>
      </c>
      <c r="M19">
        <v>-6.8000000000000005E-2</v>
      </c>
      <c r="N19">
        <v>5.6000000000000001E-2</v>
      </c>
      <c r="O19">
        <v>1</v>
      </c>
      <c r="P19">
        <v>20</v>
      </c>
      <c r="Q19" t="b">
        <v>1</v>
      </c>
      <c r="R19">
        <v>1</v>
      </c>
      <c r="S19" t="b">
        <v>1</v>
      </c>
      <c r="T19">
        <v>1</v>
      </c>
      <c r="U19" t="s">
        <v>52</v>
      </c>
    </row>
    <row r="20" spans="1:21" x14ac:dyDescent="0.2">
      <c r="A20" t="s">
        <v>53</v>
      </c>
      <c r="B20" t="s">
        <v>44</v>
      </c>
      <c r="C20">
        <v>5.4227209480000003</v>
      </c>
      <c r="D20">
        <v>0.33874748500000001</v>
      </c>
      <c r="E20">
        <v>14.321999999999999</v>
      </c>
      <c r="F20">
        <v>14.832000000000001</v>
      </c>
      <c r="G20">
        <v>1.1639999999999999</v>
      </c>
      <c r="H20">
        <v>1.1299999999999999</v>
      </c>
      <c r="I20">
        <v>96</v>
      </c>
      <c r="J20">
        <v>14.8</v>
      </c>
      <c r="K20">
        <v>0.5</v>
      </c>
      <c r="L20" s="1">
        <v>1.0000000000000001E-5</v>
      </c>
      <c r="M20">
        <v>1.011617E-3</v>
      </c>
      <c r="N20">
        <v>-5.8057599999999997E-4</v>
      </c>
      <c r="O20">
        <v>1</v>
      </c>
      <c r="P20">
        <v>20</v>
      </c>
      <c r="Q20" t="b">
        <v>1</v>
      </c>
      <c r="R20">
        <v>1</v>
      </c>
      <c r="S20" t="b">
        <v>1</v>
      </c>
      <c r="T20">
        <v>1</v>
      </c>
    </row>
    <row r="21" spans="1:21" x14ac:dyDescent="0.2">
      <c r="A21" t="s">
        <v>54</v>
      </c>
      <c r="B21" t="s">
        <v>44</v>
      </c>
      <c r="C21">
        <v>5.1926003810000001</v>
      </c>
      <c r="D21">
        <v>0.96861569400000003</v>
      </c>
      <c r="E21">
        <v>13.952</v>
      </c>
      <c r="F21">
        <v>14.336</v>
      </c>
      <c r="G21">
        <v>1.3380000000000001</v>
      </c>
      <c r="H21">
        <v>1.39</v>
      </c>
      <c r="I21">
        <v>72</v>
      </c>
      <c r="J21">
        <v>14.3</v>
      </c>
      <c r="K21">
        <v>0.5</v>
      </c>
      <c r="L21" s="1">
        <v>1.0000000000000001E-5</v>
      </c>
      <c r="M21">
        <v>2.98339E-4</v>
      </c>
      <c r="N21">
        <v>-3.6000003000000003E-2</v>
      </c>
      <c r="O21">
        <v>1</v>
      </c>
      <c r="P21">
        <v>20</v>
      </c>
      <c r="Q21" t="b">
        <v>1</v>
      </c>
      <c r="R21">
        <v>1</v>
      </c>
      <c r="S21" t="b">
        <v>1</v>
      </c>
      <c r="T21">
        <v>1</v>
      </c>
    </row>
    <row r="22" spans="1:21" x14ac:dyDescent="0.2">
      <c r="A22" t="s">
        <v>55</v>
      </c>
      <c r="B22" t="s">
        <v>44</v>
      </c>
      <c r="C22">
        <v>1.5</v>
      </c>
      <c r="D22">
        <v>1.5</v>
      </c>
      <c r="E22">
        <v>10.83</v>
      </c>
      <c r="F22">
        <v>11.013999999999999</v>
      </c>
      <c r="G22">
        <v>1.736</v>
      </c>
      <c r="H22">
        <v>2.1059999999999999</v>
      </c>
      <c r="I22">
        <v>72</v>
      </c>
      <c r="J22">
        <v>11</v>
      </c>
      <c r="K22">
        <v>0.5</v>
      </c>
      <c r="L22">
        <v>0.05</v>
      </c>
      <c r="M22">
        <v>0.17</v>
      </c>
      <c r="N22">
        <v>-1.4E-2</v>
      </c>
      <c r="O22">
        <v>1</v>
      </c>
      <c r="P22">
        <v>20</v>
      </c>
      <c r="Q22" t="b">
        <v>1</v>
      </c>
      <c r="R22">
        <v>1</v>
      </c>
      <c r="S22" t="b">
        <v>1</v>
      </c>
      <c r="T22">
        <v>1</v>
      </c>
      <c r="U22" t="s">
        <v>56</v>
      </c>
    </row>
    <row r="23" spans="1:21" x14ac:dyDescent="0.2">
      <c r="A23" t="s">
        <v>57</v>
      </c>
      <c r="B23" t="s">
        <v>58</v>
      </c>
      <c r="C23">
        <v>0.75761304799999996</v>
      </c>
      <c r="D23">
        <v>3.454962289</v>
      </c>
      <c r="E23">
        <v>5.3</v>
      </c>
      <c r="F23">
        <v>5.42</v>
      </c>
      <c r="G23">
        <v>0.12</v>
      </c>
      <c r="H23">
        <v>2.13</v>
      </c>
      <c r="I23">
        <v>28</v>
      </c>
      <c r="J23">
        <v>5.4</v>
      </c>
      <c r="K23">
        <v>0.5</v>
      </c>
      <c r="L23">
        <v>0.05</v>
      </c>
      <c r="M23">
        <v>9.9997752999999995E-2</v>
      </c>
      <c r="N23">
        <v>-8.7415099999999999E-4</v>
      </c>
      <c r="O23">
        <v>1</v>
      </c>
      <c r="P23">
        <v>10</v>
      </c>
      <c r="Q23" t="b">
        <v>1</v>
      </c>
      <c r="R23">
        <v>1</v>
      </c>
      <c r="S23" t="b">
        <v>1</v>
      </c>
      <c r="T23">
        <v>1</v>
      </c>
      <c r="U23" t="s">
        <v>59</v>
      </c>
    </row>
    <row r="24" spans="1:21" s="6" customFormat="1" x14ac:dyDescent="0.2">
      <c r="A24" s="6" t="s">
        <v>60</v>
      </c>
      <c r="B24" s="6" t="s">
        <v>58</v>
      </c>
      <c r="C24" s="6">
        <v>26.024609550000001</v>
      </c>
      <c r="D24" s="6">
        <v>1.025744655</v>
      </c>
      <c r="E24" s="6">
        <v>5.6</v>
      </c>
      <c r="F24" s="6">
        <v>4.88</v>
      </c>
      <c r="G24" s="6">
        <v>-0.72</v>
      </c>
      <c r="H24" s="6">
        <v>3.14</v>
      </c>
      <c r="I24" s="6">
        <v>28</v>
      </c>
      <c r="J24" s="6">
        <v>5</v>
      </c>
      <c r="K24" s="6">
        <v>0.1</v>
      </c>
      <c r="L24" s="6">
        <v>0.05</v>
      </c>
      <c r="M24" s="6">
        <v>-0.16864019399999999</v>
      </c>
      <c r="N24" s="6">
        <v>0.120005745</v>
      </c>
      <c r="O24" s="6">
        <v>1</v>
      </c>
      <c r="P24" s="6">
        <v>10</v>
      </c>
      <c r="Q24" s="6" t="b">
        <v>1</v>
      </c>
      <c r="R24" s="6">
        <v>1</v>
      </c>
      <c r="S24" s="6" t="b">
        <v>1</v>
      </c>
      <c r="T24" s="6">
        <v>1</v>
      </c>
      <c r="U24" s="6" t="s">
        <v>61</v>
      </c>
    </row>
    <row r="25" spans="1:21" x14ac:dyDescent="0.2">
      <c r="A25" t="s">
        <v>62</v>
      </c>
      <c r="B25" t="s">
        <v>58</v>
      </c>
      <c r="C25">
        <v>11.37843704</v>
      </c>
      <c r="D25">
        <v>0.37236546999999998</v>
      </c>
      <c r="E25">
        <v>5.0999999999999996</v>
      </c>
      <c r="F25">
        <v>4.18</v>
      </c>
      <c r="G25">
        <v>-0.92</v>
      </c>
      <c r="H25">
        <v>2.25</v>
      </c>
      <c r="I25">
        <v>28</v>
      </c>
      <c r="J25">
        <v>4.2</v>
      </c>
      <c r="K25">
        <v>0.5</v>
      </c>
      <c r="L25" s="1">
        <v>1.0000000000000001E-5</v>
      </c>
      <c r="M25">
        <v>9.3295800000000001E-4</v>
      </c>
      <c r="N25">
        <v>3.94717E-4</v>
      </c>
      <c r="O25">
        <v>1</v>
      </c>
      <c r="P25">
        <v>10</v>
      </c>
      <c r="Q25" t="b">
        <v>1</v>
      </c>
      <c r="R25">
        <v>1</v>
      </c>
      <c r="S25" t="b">
        <v>1</v>
      </c>
      <c r="T25">
        <v>1</v>
      </c>
    </row>
    <row r="26" spans="1:21" x14ac:dyDescent="0.2">
      <c r="A26" t="s">
        <v>63</v>
      </c>
      <c r="B26" t="s">
        <v>58</v>
      </c>
      <c r="C26">
        <v>9.4315128369999996</v>
      </c>
      <c r="D26">
        <v>0.694888642</v>
      </c>
      <c r="E26">
        <v>4.7</v>
      </c>
      <c r="F26">
        <v>3.3</v>
      </c>
      <c r="G26">
        <v>-1.4</v>
      </c>
      <c r="H26">
        <v>2.5</v>
      </c>
      <c r="I26">
        <v>28</v>
      </c>
      <c r="J26">
        <v>3.3</v>
      </c>
      <c r="K26">
        <v>0.5</v>
      </c>
      <c r="L26" s="1">
        <v>1.0000000000000001E-5</v>
      </c>
      <c r="M26">
        <v>-4.1206599999999999E-4</v>
      </c>
      <c r="N26" s="1">
        <v>6.02E-6</v>
      </c>
      <c r="O26">
        <v>1</v>
      </c>
      <c r="P26">
        <v>10</v>
      </c>
      <c r="Q26" t="b">
        <v>1</v>
      </c>
      <c r="R26">
        <v>1</v>
      </c>
      <c r="S26" t="b">
        <v>1</v>
      </c>
      <c r="T26">
        <v>1</v>
      </c>
    </row>
    <row r="27" spans="1:21" x14ac:dyDescent="0.2">
      <c r="A27" t="s">
        <v>64</v>
      </c>
      <c r="B27" t="s">
        <v>58</v>
      </c>
      <c r="C27">
        <v>1.5895583820000001</v>
      </c>
      <c r="D27">
        <v>1.482544906</v>
      </c>
      <c r="E27">
        <v>5.4</v>
      </c>
      <c r="F27">
        <v>5</v>
      </c>
      <c r="G27">
        <v>-0.4</v>
      </c>
      <c r="H27">
        <v>2.6</v>
      </c>
      <c r="I27">
        <v>28</v>
      </c>
      <c r="J27">
        <v>5.2</v>
      </c>
      <c r="K27">
        <v>0.01</v>
      </c>
      <c r="L27">
        <v>0.05</v>
      </c>
      <c r="M27">
        <v>-0.19873149300000001</v>
      </c>
      <c r="N27">
        <v>0.20063884700000001</v>
      </c>
      <c r="O27">
        <v>1</v>
      </c>
      <c r="P27">
        <v>10</v>
      </c>
      <c r="Q27" t="b">
        <v>1</v>
      </c>
      <c r="R27">
        <v>1</v>
      </c>
      <c r="S27" t="b">
        <v>1</v>
      </c>
      <c r="T27">
        <v>1</v>
      </c>
      <c r="U27" t="s">
        <v>65</v>
      </c>
    </row>
    <row r="28" spans="1:21" x14ac:dyDescent="0.2">
      <c r="A28" t="s">
        <v>66</v>
      </c>
      <c r="B28" t="s">
        <v>58</v>
      </c>
      <c r="C28">
        <v>1.5307118150000001</v>
      </c>
      <c r="D28">
        <v>1.5</v>
      </c>
      <c r="E28">
        <v>5.3</v>
      </c>
      <c r="F28">
        <v>5.17</v>
      </c>
      <c r="G28">
        <v>-0.13</v>
      </c>
      <c r="H28">
        <v>1.64</v>
      </c>
      <c r="I28">
        <v>28</v>
      </c>
      <c r="J28">
        <v>5.2</v>
      </c>
      <c r="K28">
        <v>0.01</v>
      </c>
      <c r="L28">
        <v>0.05</v>
      </c>
      <c r="M28">
        <v>-9.9114875000000005E-2</v>
      </c>
      <c r="N28">
        <v>3.0721525E-2</v>
      </c>
      <c r="O28">
        <v>1</v>
      </c>
      <c r="P28">
        <v>10</v>
      </c>
      <c r="Q28" t="b">
        <v>1</v>
      </c>
      <c r="R28">
        <v>1</v>
      </c>
      <c r="S28" t="b">
        <v>1</v>
      </c>
      <c r="T28">
        <v>1</v>
      </c>
    </row>
    <row r="29" spans="1:21" s="6" customFormat="1" x14ac:dyDescent="0.2">
      <c r="A29" s="6" t="s">
        <v>67</v>
      </c>
      <c r="B29" s="6" t="s">
        <v>58</v>
      </c>
      <c r="C29" s="6">
        <v>19.086266989999999</v>
      </c>
      <c r="D29" s="6">
        <v>1.2682386640000001</v>
      </c>
      <c r="E29" s="6">
        <v>5.6</v>
      </c>
      <c r="F29" s="6">
        <v>4.5999999999999996</v>
      </c>
      <c r="G29" s="6">
        <v>-1</v>
      </c>
      <c r="H29" s="6">
        <v>2.84</v>
      </c>
      <c r="I29" s="6">
        <v>28</v>
      </c>
      <c r="J29" s="6">
        <v>4.5999999999999996</v>
      </c>
      <c r="K29" s="6">
        <v>0.1</v>
      </c>
      <c r="L29" s="6">
        <v>0.05</v>
      </c>
      <c r="M29" s="6">
        <v>-0.26770891000000002</v>
      </c>
      <c r="N29" s="6">
        <v>6.40885E-4</v>
      </c>
      <c r="O29" s="6">
        <v>1</v>
      </c>
      <c r="P29" s="6">
        <v>10</v>
      </c>
      <c r="Q29" s="6" t="b">
        <v>1</v>
      </c>
      <c r="R29" s="6">
        <v>1</v>
      </c>
      <c r="S29" s="6" t="b">
        <v>1</v>
      </c>
      <c r="T29" s="6">
        <v>1</v>
      </c>
    </row>
    <row r="30" spans="1:21" x14ac:dyDescent="0.2">
      <c r="A30" t="s">
        <v>68</v>
      </c>
      <c r="B30" t="s">
        <v>58</v>
      </c>
      <c r="C30">
        <v>1.546060158</v>
      </c>
      <c r="D30">
        <v>1.3779815989999999</v>
      </c>
      <c r="E30">
        <v>5.0999999999999996</v>
      </c>
      <c r="F30">
        <v>4.87</v>
      </c>
      <c r="G30">
        <v>-0.23</v>
      </c>
      <c r="H30">
        <v>1.96</v>
      </c>
      <c r="I30">
        <v>28</v>
      </c>
      <c r="J30">
        <v>4.9000000000000004</v>
      </c>
      <c r="K30">
        <v>0.01</v>
      </c>
      <c r="L30">
        <v>0.05</v>
      </c>
      <c r="M30">
        <v>-0.19768506599999999</v>
      </c>
      <c r="N30">
        <v>3.0725092999999998E-2</v>
      </c>
      <c r="O30">
        <v>1</v>
      </c>
      <c r="P30">
        <v>10</v>
      </c>
      <c r="Q30" t="b">
        <v>1</v>
      </c>
      <c r="R30">
        <v>1</v>
      </c>
      <c r="S30" t="b">
        <v>1</v>
      </c>
      <c r="T30">
        <v>1</v>
      </c>
    </row>
    <row r="31" spans="1:21" x14ac:dyDescent="0.2">
      <c r="A31" t="s">
        <v>69</v>
      </c>
      <c r="B31" t="s">
        <v>58</v>
      </c>
      <c r="C31">
        <v>2.1585633999999998</v>
      </c>
      <c r="D31">
        <v>1.3037450180000001</v>
      </c>
      <c r="E31">
        <v>4.7</v>
      </c>
      <c r="F31">
        <v>3.7</v>
      </c>
      <c r="G31">
        <v>-1</v>
      </c>
      <c r="H31">
        <v>2.0499999999999998</v>
      </c>
      <c r="I31">
        <v>28</v>
      </c>
      <c r="J31">
        <v>3.7</v>
      </c>
      <c r="K31">
        <v>0.01</v>
      </c>
      <c r="L31">
        <v>0.05</v>
      </c>
      <c r="M31">
        <v>-0.89549632899999998</v>
      </c>
      <c r="N31">
        <v>7.7264580000000003E-3</v>
      </c>
      <c r="O31">
        <v>1</v>
      </c>
      <c r="P31">
        <v>10</v>
      </c>
      <c r="Q31" t="b">
        <v>1</v>
      </c>
      <c r="R31">
        <v>1</v>
      </c>
      <c r="S31" t="b">
        <v>1</v>
      </c>
      <c r="T31">
        <v>1</v>
      </c>
    </row>
    <row r="32" spans="1:21" x14ac:dyDescent="0.2">
      <c r="A32" t="s">
        <v>70</v>
      </c>
      <c r="B32" t="s">
        <v>58</v>
      </c>
      <c r="C32">
        <v>1.5</v>
      </c>
      <c r="D32">
        <v>1.5</v>
      </c>
      <c r="E32">
        <v>5.4</v>
      </c>
      <c r="F32">
        <v>5.47</v>
      </c>
      <c r="G32">
        <v>7.0000000000000007E-2</v>
      </c>
      <c r="H32">
        <v>2.13</v>
      </c>
      <c r="I32">
        <v>28</v>
      </c>
      <c r="J32">
        <v>5.5</v>
      </c>
      <c r="K32">
        <v>0.01</v>
      </c>
      <c r="L32">
        <v>0.05</v>
      </c>
      <c r="M32">
        <v>0.1</v>
      </c>
      <c r="N32">
        <v>0.03</v>
      </c>
      <c r="O32">
        <v>1</v>
      </c>
      <c r="P32">
        <v>10</v>
      </c>
      <c r="Q32" t="b">
        <v>1</v>
      </c>
      <c r="R32">
        <v>1</v>
      </c>
      <c r="S32" t="b">
        <v>1</v>
      </c>
      <c r="T32">
        <v>1</v>
      </c>
    </row>
    <row r="33" spans="1:21" s="6" customFormat="1" x14ac:dyDescent="0.2">
      <c r="A33" s="6" t="s">
        <v>71</v>
      </c>
      <c r="B33" s="6" t="s">
        <v>72</v>
      </c>
      <c r="C33" s="6">
        <v>30.537964809999998</v>
      </c>
      <c r="D33" s="6">
        <v>0.49156414700000001</v>
      </c>
      <c r="E33" s="6">
        <v>0.25</v>
      </c>
      <c r="F33" s="6">
        <v>-0.72</v>
      </c>
      <c r="G33" s="6">
        <v>-0.97</v>
      </c>
      <c r="H33" s="6" t="s">
        <v>23</v>
      </c>
      <c r="I33" s="6">
        <v>58</v>
      </c>
      <c r="J33" s="6">
        <v>-0.5</v>
      </c>
      <c r="K33" s="6">
        <v>0.6</v>
      </c>
      <c r="L33" s="6">
        <v>0.1</v>
      </c>
      <c r="M33" s="6">
        <v>-0.30210621500000001</v>
      </c>
      <c r="N33" s="6">
        <v>0.22</v>
      </c>
      <c r="O33" s="6">
        <v>-4</v>
      </c>
      <c r="P33" s="6">
        <v>4</v>
      </c>
      <c r="Q33" s="6" t="b">
        <v>1</v>
      </c>
      <c r="R33" s="6">
        <v>1</v>
      </c>
      <c r="S33" s="6" t="b">
        <v>1</v>
      </c>
      <c r="T33" s="6">
        <v>1</v>
      </c>
      <c r="U33" s="6" t="s">
        <v>73</v>
      </c>
    </row>
    <row r="34" spans="1:21" s="6" customFormat="1" x14ac:dyDescent="0.2">
      <c r="A34" s="6" t="s">
        <v>74</v>
      </c>
      <c r="B34" s="6" t="s">
        <v>72</v>
      </c>
      <c r="C34" s="6">
        <v>29.767606180000001</v>
      </c>
      <c r="D34" s="6">
        <v>1.0118344109999999</v>
      </c>
      <c r="E34" s="6">
        <v>0.1</v>
      </c>
      <c r="F34" s="6">
        <v>-0.33</v>
      </c>
      <c r="G34" s="6">
        <v>-0.44</v>
      </c>
      <c r="H34" s="6" t="s">
        <v>23</v>
      </c>
      <c r="I34" s="6">
        <v>58</v>
      </c>
      <c r="J34" s="6">
        <v>-0.33</v>
      </c>
      <c r="K34" s="6">
        <v>0.26</v>
      </c>
      <c r="L34" s="6">
        <v>0.05</v>
      </c>
      <c r="M34" s="6">
        <v>-0.135275741</v>
      </c>
      <c r="N34" s="7">
        <v>1.8099999999999999E-5</v>
      </c>
      <c r="O34" s="6">
        <v>-4</v>
      </c>
      <c r="P34" s="6">
        <v>4</v>
      </c>
      <c r="Q34" s="6" t="b">
        <v>1</v>
      </c>
      <c r="R34" s="6">
        <v>1</v>
      </c>
      <c r="S34" s="6" t="b">
        <v>1</v>
      </c>
      <c r="T34" s="6">
        <v>1</v>
      </c>
      <c r="U34" s="6" t="s">
        <v>75</v>
      </c>
    </row>
    <row r="35" spans="1:21" x14ac:dyDescent="0.2">
      <c r="A35" t="s">
        <v>76</v>
      </c>
      <c r="B35" t="s">
        <v>72</v>
      </c>
      <c r="C35">
        <v>11.11728915</v>
      </c>
      <c r="D35">
        <v>0.968020934</v>
      </c>
      <c r="E35">
        <v>0.03</v>
      </c>
      <c r="F35">
        <v>0.83</v>
      </c>
      <c r="G35">
        <v>0.8</v>
      </c>
      <c r="H35" t="s">
        <v>23</v>
      </c>
      <c r="I35">
        <v>58</v>
      </c>
      <c r="J35">
        <v>0.8</v>
      </c>
      <c r="K35">
        <v>0.05</v>
      </c>
      <c r="L35">
        <v>0.05</v>
      </c>
      <c r="M35">
        <v>0.19468939800000001</v>
      </c>
      <c r="N35">
        <v>-3.0066703E-2</v>
      </c>
      <c r="O35">
        <v>-4</v>
      </c>
      <c r="P35">
        <v>4</v>
      </c>
      <c r="Q35" t="b">
        <v>1</v>
      </c>
      <c r="R35">
        <v>1</v>
      </c>
      <c r="S35" t="b">
        <v>1</v>
      </c>
      <c r="T35">
        <v>1</v>
      </c>
    </row>
    <row r="36" spans="1:21" x14ac:dyDescent="0.2">
      <c r="A36" t="s">
        <v>77</v>
      </c>
      <c r="B36" t="s">
        <v>72</v>
      </c>
      <c r="C36">
        <v>1.5</v>
      </c>
      <c r="D36">
        <v>1.5</v>
      </c>
      <c r="E36">
        <v>0.19</v>
      </c>
      <c r="F36">
        <v>-0.14000000000000001</v>
      </c>
      <c r="G36">
        <v>-0.33</v>
      </c>
      <c r="H36" t="s">
        <v>23</v>
      </c>
      <c r="I36">
        <v>58</v>
      </c>
      <c r="J36">
        <v>0</v>
      </c>
      <c r="K36">
        <v>0.05</v>
      </c>
      <c r="L36">
        <v>0.01</v>
      </c>
      <c r="M36">
        <v>-0.19</v>
      </c>
      <c r="N36">
        <v>0.14000000000000001</v>
      </c>
      <c r="O36">
        <v>-4</v>
      </c>
      <c r="P36">
        <v>4</v>
      </c>
      <c r="Q36" t="b">
        <v>1</v>
      </c>
      <c r="R36">
        <v>1</v>
      </c>
      <c r="S36" t="b">
        <v>1</v>
      </c>
      <c r="T36">
        <v>1</v>
      </c>
      <c r="U36" t="s">
        <v>78</v>
      </c>
    </row>
    <row r="37" spans="1:21" s="6" customFormat="1" x14ac:dyDescent="0.2">
      <c r="A37" s="6" t="s">
        <v>79</v>
      </c>
      <c r="B37" s="6" t="s">
        <v>72</v>
      </c>
      <c r="C37" s="6">
        <v>42.241527060000003</v>
      </c>
      <c r="D37" s="6">
        <v>0.60451992499999996</v>
      </c>
      <c r="E37" s="6">
        <v>0.14000000000000001</v>
      </c>
      <c r="F37" s="6">
        <v>2.5299999999999998</v>
      </c>
      <c r="G37" s="6">
        <v>2.39</v>
      </c>
      <c r="H37" s="6" t="s">
        <v>23</v>
      </c>
      <c r="I37" s="6">
        <v>58</v>
      </c>
      <c r="J37" s="6">
        <v>2.37</v>
      </c>
      <c r="K37" s="6">
        <v>0.1</v>
      </c>
      <c r="L37" s="6">
        <v>0.05</v>
      </c>
      <c r="M37" s="6">
        <v>3.8707637000000003E-2</v>
      </c>
      <c r="N37" s="6">
        <v>-0.16038399</v>
      </c>
      <c r="O37" s="6">
        <v>-4</v>
      </c>
      <c r="P37" s="6">
        <v>4</v>
      </c>
      <c r="Q37" s="6" t="b">
        <v>1</v>
      </c>
      <c r="R37" s="6">
        <v>1</v>
      </c>
      <c r="S37" s="6" t="b">
        <v>1</v>
      </c>
      <c r="T37" s="6">
        <v>1</v>
      </c>
      <c r="U37" s="6" t="s">
        <v>80</v>
      </c>
    </row>
    <row r="38" spans="1:21" x14ac:dyDescent="0.2">
      <c r="A38" t="s">
        <v>81</v>
      </c>
      <c r="B38" t="s">
        <v>72</v>
      </c>
      <c r="C38">
        <v>1.5</v>
      </c>
      <c r="D38">
        <v>1.5</v>
      </c>
      <c r="E38">
        <v>-0.06</v>
      </c>
      <c r="F38">
        <v>0.08</v>
      </c>
      <c r="G38">
        <v>0.14000000000000001</v>
      </c>
      <c r="H38" t="s">
        <v>23</v>
      </c>
      <c r="I38">
        <v>58</v>
      </c>
      <c r="J38">
        <v>0</v>
      </c>
      <c r="K38">
        <v>0.05</v>
      </c>
      <c r="L38">
        <v>0.05</v>
      </c>
      <c r="M38">
        <v>0.06</v>
      </c>
      <c r="N38">
        <v>-0.08</v>
      </c>
      <c r="O38">
        <v>-4</v>
      </c>
      <c r="P38">
        <v>4</v>
      </c>
      <c r="Q38" t="b">
        <v>1</v>
      </c>
      <c r="R38">
        <v>1</v>
      </c>
      <c r="S38" t="b">
        <v>1</v>
      </c>
      <c r="T38">
        <v>1</v>
      </c>
      <c r="U38" t="s">
        <v>82</v>
      </c>
    </row>
    <row r="39" spans="1:21" s="6" customFormat="1" x14ac:dyDescent="0.2">
      <c r="A39" s="6" t="s">
        <v>83</v>
      </c>
      <c r="B39" s="6" t="s">
        <v>72</v>
      </c>
      <c r="C39" s="6">
        <v>34.6410719</v>
      </c>
      <c r="D39" s="6">
        <v>0.14263410700000001</v>
      </c>
      <c r="E39" s="6">
        <v>0.13</v>
      </c>
      <c r="F39" s="6">
        <v>2.91</v>
      </c>
      <c r="G39" s="6">
        <v>2.78</v>
      </c>
      <c r="H39" s="6" t="s">
        <v>23</v>
      </c>
      <c r="I39" s="6">
        <v>58</v>
      </c>
      <c r="J39" s="6">
        <v>2.69</v>
      </c>
      <c r="K39" s="6">
        <v>0.05</v>
      </c>
      <c r="L39" s="6">
        <v>0.05</v>
      </c>
      <c r="M39" s="6">
        <v>0.117045755</v>
      </c>
      <c r="N39" s="6">
        <v>-1.416991E-3</v>
      </c>
      <c r="O39" s="6">
        <v>-4</v>
      </c>
      <c r="P39" s="6">
        <v>4</v>
      </c>
      <c r="Q39" s="6" t="b">
        <v>1</v>
      </c>
      <c r="R39" s="6">
        <v>1</v>
      </c>
      <c r="S39" s="6" t="b">
        <v>1</v>
      </c>
      <c r="T39" s="6">
        <v>1</v>
      </c>
      <c r="U39" s="6" t="s">
        <v>80</v>
      </c>
    </row>
    <row r="40" spans="1:21" s="6" customFormat="1" x14ac:dyDescent="0.2">
      <c r="A40" s="6" t="s">
        <v>84</v>
      </c>
      <c r="B40" s="6" t="s">
        <v>72</v>
      </c>
      <c r="C40" s="6">
        <v>16.537868880000001</v>
      </c>
      <c r="D40" s="6">
        <v>1.1341689370000001</v>
      </c>
      <c r="E40" s="6">
        <v>0.13</v>
      </c>
      <c r="F40" s="6">
        <v>0.97</v>
      </c>
      <c r="G40" s="6">
        <v>0.84</v>
      </c>
      <c r="H40" s="6" t="s">
        <v>23</v>
      </c>
      <c r="I40" s="6">
        <v>58</v>
      </c>
      <c r="J40" s="6">
        <v>0.9</v>
      </c>
      <c r="K40" s="6">
        <v>0.06</v>
      </c>
      <c r="L40" s="6">
        <v>0.01</v>
      </c>
      <c r="M40" s="6">
        <v>4.1949032999999997E-2</v>
      </c>
      <c r="N40" s="6">
        <v>-7.0775836999999994E-2</v>
      </c>
      <c r="O40" s="6">
        <v>-4</v>
      </c>
      <c r="P40" s="6">
        <v>4</v>
      </c>
      <c r="Q40" s="6" t="b">
        <v>1</v>
      </c>
      <c r="R40" s="6">
        <v>1</v>
      </c>
      <c r="S40" s="6" t="b">
        <v>1</v>
      </c>
      <c r="T40" s="6">
        <v>1</v>
      </c>
      <c r="U40" s="6" t="s">
        <v>85</v>
      </c>
    </row>
    <row r="41" spans="1:21" x14ac:dyDescent="0.2">
      <c r="A41" t="s">
        <v>86</v>
      </c>
      <c r="B41" t="s">
        <v>72</v>
      </c>
      <c r="C41">
        <v>1.5745633530000001</v>
      </c>
      <c r="D41">
        <v>1.486820952</v>
      </c>
      <c r="E41">
        <v>-0.08</v>
      </c>
      <c r="F41">
        <v>-0.15</v>
      </c>
      <c r="G41">
        <v>-7.0000000000000007E-2</v>
      </c>
      <c r="H41" t="s">
        <v>23</v>
      </c>
      <c r="I41">
        <v>58</v>
      </c>
      <c r="J41">
        <v>-0.1</v>
      </c>
      <c r="K41">
        <v>0.01</v>
      </c>
      <c r="L41">
        <v>5.0000000000000001E-3</v>
      </c>
      <c r="M41">
        <v>-1.9017178999999999E-2</v>
      </c>
      <c r="N41">
        <v>5.0615515999999999E-2</v>
      </c>
      <c r="O41">
        <v>-4</v>
      </c>
      <c r="P41">
        <v>4</v>
      </c>
      <c r="Q41" t="b">
        <v>1</v>
      </c>
      <c r="R41">
        <v>1</v>
      </c>
      <c r="S41" t="b">
        <v>1</v>
      </c>
      <c r="T41">
        <v>1</v>
      </c>
    </row>
    <row r="42" spans="1:21" x14ac:dyDescent="0.2">
      <c r="A42" t="s">
        <v>87</v>
      </c>
      <c r="B42" t="s">
        <v>72</v>
      </c>
      <c r="C42">
        <v>5.3812716350000001</v>
      </c>
      <c r="D42">
        <v>1.1549059070000001</v>
      </c>
      <c r="E42">
        <v>0.02</v>
      </c>
      <c r="F42">
        <v>-0.48</v>
      </c>
      <c r="G42">
        <v>-0.5</v>
      </c>
      <c r="H42" t="s">
        <v>23</v>
      </c>
      <c r="I42">
        <v>58</v>
      </c>
      <c r="J42">
        <v>-0.4</v>
      </c>
      <c r="K42">
        <v>0.03</v>
      </c>
      <c r="L42">
        <v>0.05</v>
      </c>
      <c r="M42">
        <v>-0.237177895</v>
      </c>
      <c r="N42">
        <v>8.0186453000000005E-2</v>
      </c>
      <c r="O42">
        <v>-4</v>
      </c>
      <c r="P42">
        <v>4</v>
      </c>
      <c r="Q42" t="b">
        <v>1</v>
      </c>
      <c r="R42">
        <v>1</v>
      </c>
      <c r="S42" t="b">
        <v>1</v>
      </c>
      <c r="T42">
        <v>1</v>
      </c>
      <c r="U42" t="s">
        <v>88</v>
      </c>
    </row>
    <row r="43" spans="1:21" x14ac:dyDescent="0.2">
      <c r="A43" t="s">
        <v>89</v>
      </c>
      <c r="B43" t="s">
        <v>90</v>
      </c>
      <c r="C43">
        <v>1.9210502359999999</v>
      </c>
      <c r="D43">
        <v>0.87625793299999999</v>
      </c>
      <c r="E43">
        <v>-3.14</v>
      </c>
      <c r="F43">
        <v>-3.34</v>
      </c>
      <c r="G43">
        <v>0.18</v>
      </c>
      <c r="H43" t="s">
        <v>23</v>
      </c>
      <c r="I43">
        <v>19</v>
      </c>
      <c r="J43">
        <v>-3.34</v>
      </c>
      <c r="K43">
        <v>0.01</v>
      </c>
      <c r="L43">
        <v>0.01</v>
      </c>
      <c r="M43" s="1">
        <v>-1.47E-5</v>
      </c>
      <c r="N43">
        <v>7.006567E-3</v>
      </c>
      <c r="O43">
        <v>-5</v>
      </c>
      <c r="P43">
        <v>5</v>
      </c>
      <c r="Q43" t="b">
        <v>1</v>
      </c>
      <c r="R43">
        <v>1</v>
      </c>
      <c r="S43" t="b">
        <v>1</v>
      </c>
      <c r="T43">
        <v>1</v>
      </c>
      <c r="U43" t="s">
        <v>91</v>
      </c>
    </row>
    <row r="44" spans="1:21" x14ac:dyDescent="0.2">
      <c r="A44" t="s">
        <v>92</v>
      </c>
      <c r="B44" t="s">
        <v>90</v>
      </c>
      <c r="C44">
        <v>1.75220585</v>
      </c>
      <c r="D44">
        <v>0.79630953800000004</v>
      </c>
      <c r="E44">
        <v>-3.3</v>
      </c>
      <c r="F44">
        <v>-3.48</v>
      </c>
      <c r="G44">
        <v>-0.14000000000000001</v>
      </c>
      <c r="H44" t="s">
        <v>23</v>
      </c>
      <c r="I44">
        <v>19</v>
      </c>
      <c r="J44">
        <v>-3.48</v>
      </c>
      <c r="K44">
        <v>0.01</v>
      </c>
      <c r="L44">
        <v>0.01</v>
      </c>
      <c r="M44">
        <v>1.8691700000000001E-4</v>
      </c>
      <c r="N44">
        <v>5.6700479999999996E-3</v>
      </c>
      <c r="O44">
        <v>-5</v>
      </c>
      <c r="P44">
        <v>5</v>
      </c>
      <c r="Q44" t="b">
        <v>1</v>
      </c>
      <c r="R44">
        <v>1</v>
      </c>
      <c r="S44" t="b">
        <v>1</v>
      </c>
      <c r="T44">
        <v>1</v>
      </c>
      <c r="U44" t="s">
        <v>93</v>
      </c>
    </row>
    <row r="45" spans="1:21" s="3" customFormat="1" x14ac:dyDescent="0.2">
      <c r="A45" s="3" t="s">
        <v>94</v>
      </c>
      <c r="B45" s="3" t="s">
        <v>90</v>
      </c>
      <c r="C45" s="3" t="s">
        <v>23</v>
      </c>
      <c r="D45" s="3" t="s">
        <v>23</v>
      </c>
      <c r="E45" s="3">
        <v>-0.86</v>
      </c>
      <c r="F45" s="3">
        <v>-0.86</v>
      </c>
      <c r="G45" s="3">
        <v>0</v>
      </c>
      <c r="H45" s="3" t="s">
        <v>23</v>
      </c>
      <c r="I45" s="3">
        <v>19</v>
      </c>
      <c r="J45" s="3" t="s">
        <v>23</v>
      </c>
      <c r="K45" s="3" t="s">
        <v>23</v>
      </c>
      <c r="L45" s="3" t="s">
        <v>23</v>
      </c>
      <c r="M45" s="3" t="s">
        <v>23</v>
      </c>
      <c r="N45" s="3" t="s">
        <v>23</v>
      </c>
      <c r="O45" s="3">
        <v>-5</v>
      </c>
      <c r="P45" s="3">
        <v>5</v>
      </c>
      <c r="Q45" s="3" t="b">
        <v>0</v>
      </c>
      <c r="R45" s="3">
        <v>0</v>
      </c>
      <c r="S45" s="3" t="b">
        <v>0</v>
      </c>
      <c r="T45" s="3">
        <v>0</v>
      </c>
      <c r="U45" s="4" t="s">
        <v>95</v>
      </c>
    </row>
    <row r="46" spans="1:21" x14ac:dyDescent="0.2">
      <c r="A46" t="s">
        <v>96</v>
      </c>
      <c r="B46" t="s">
        <v>90</v>
      </c>
      <c r="C46">
        <v>1.7836952450000001</v>
      </c>
      <c r="D46">
        <v>0.47434236200000002</v>
      </c>
      <c r="E46">
        <v>3.84</v>
      </c>
      <c r="F46">
        <v>4.22</v>
      </c>
      <c r="G46">
        <v>0.32</v>
      </c>
      <c r="H46" t="s">
        <v>23</v>
      </c>
      <c r="I46">
        <v>21</v>
      </c>
      <c r="J46">
        <v>4.22</v>
      </c>
      <c r="K46">
        <v>0.05</v>
      </c>
      <c r="L46">
        <v>0.01</v>
      </c>
      <c r="M46" s="1">
        <v>-3.1699999999999998E-5</v>
      </c>
      <c r="N46">
        <v>-7.1670220000000003E-3</v>
      </c>
      <c r="O46">
        <v>-5</v>
      </c>
      <c r="P46">
        <v>5</v>
      </c>
      <c r="Q46" t="b">
        <v>1</v>
      </c>
      <c r="R46">
        <v>1</v>
      </c>
      <c r="S46" t="b">
        <v>1</v>
      </c>
      <c r="T46">
        <v>1</v>
      </c>
    </row>
    <row r="47" spans="1:21" x14ac:dyDescent="0.2">
      <c r="A47" t="s">
        <v>97</v>
      </c>
      <c r="B47" t="s">
        <v>90</v>
      </c>
      <c r="C47">
        <v>1.3935350310000001</v>
      </c>
      <c r="D47">
        <v>0.49531688800000001</v>
      </c>
      <c r="E47">
        <v>3.9</v>
      </c>
      <c r="F47">
        <v>4.1100000000000003</v>
      </c>
      <c r="G47">
        <v>0.11</v>
      </c>
      <c r="H47" t="s">
        <v>23</v>
      </c>
      <c r="I47">
        <v>21</v>
      </c>
      <c r="J47">
        <v>4.1100000000000003</v>
      </c>
      <c r="K47">
        <v>0.05</v>
      </c>
      <c r="L47">
        <v>0.05</v>
      </c>
      <c r="M47">
        <v>-8.0369100000000004E-4</v>
      </c>
      <c r="N47">
        <v>-4.106373E-3</v>
      </c>
      <c r="O47">
        <v>-5</v>
      </c>
      <c r="P47">
        <v>5</v>
      </c>
      <c r="Q47" t="b">
        <v>1</v>
      </c>
      <c r="R47">
        <v>1</v>
      </c>
      <c r="S47" t="b">
        <v>1</v>
      </c>
      <c r="T47">
        <v>1</v>
      </c>
      <c r="U47" t="s">
        <v>93</v>
      </c>
    </row>
    <row r="48" spans="1:21" x14ac:dyDescent="0.2">
      <c r="A48" t="s">
        <v>98</v>
      </c>
      <c r="B48" t="s">
        <v>90</v>
      </c>
      <c r="C48">
        <v>1.4550527719999999</v>
      </c>
      <c r="D48">
        <v>0.63089951499999997</v>
      </c>
      <c r="E48">
        <v>-3.4</v>
      </c>
      <c r="F48">
        <v>-3.51</v>
      </c>
      <c r="G48">
        <v>-0.11</v>
      </c>
      <c r="H48" t="s">
        <v>23</v>
      </c>
      <c r="I48">
        <v>21</v>
      </c>
      <c r="J48">
        <v>-3.51</v>
      </c>
      <c r="K48">
        <v>0.06</v>
      </c>
      <c r="L48">
        <v>0.01</v>
      </c>
      <c r="M48">
        <v>-9.7073199999999998E-4</v>
      </c>
      <c r="N48">
        <v>7.9795699999999996E-4</v>
      </c>
      <c r="O48">
        <v>-5</v>
      </c>
      <c r="P48">
        <v>5</v>
      </c>
      <c r="Q48" t="b">
        <v>1</v>
      </c>
      <c r="R48">
        <v>1</v>
      </c>
      <c r="S48" t="b">
        <v>1</v>
      </c>
      <c r="T48">
        <v>1</v>
      </c>
      <c r="U48" t="s">
        <v>93</v>
      </c>
    </row>
    <row r="49" spans="1:21" x14ac:dyDescent="0.2">
      <c r="A49" t="s">
        <v>99</v>
      </c>
      <c r="B49" t="s">
        <v>90</v>
      </c>
      <c r="C49">
        <v>3.2521196309999998</v>
      </c>
      <c r="D49">
        <v>1.243217067</v>
      </c>
      <c r="E49">
        <v>2.1</v>
      </c>
      <c r="F49">
        <v>2.5</v>
      </c>
      <c r="G49">
        <v>0.4</v>
      </c>
      <c r="H49" t="s">
        <v>23</v>
      </c>
      <c r="I49">
        <v>22</v>
      </c>
      <c r="J49">
        <v>2.5</v>
      </c>
      <c r="K49">
        <v>0.05</v>
      </c>
      <c r="L49" s="1">
        <v>1E-4</v>
      </c>
      <c r="M49">
        <v>2.2107960000000001E-3</v>
      </c>
      <c r="N49">
        <v>-8.5851E-3</v>
      </c>
      <c r="O49">
        <v>-5</v>
      </c>
      <c r="P49">
        <v>5</v>
      </c>
      <c r="Q49" t="b">
        <v>1</v>
      </c>
      <c r="R49">
        <v>1</v>
      </c>
      <c r="S49" t="b">
        <v>1</v>
      </c>
      <c r="T49">
        <v>1</v>
      </c>
    </row>
    <row r="50" spans="1:21" x14ac:dyDescent="0.2">
      <c r="A50" t="s">
        <v>100</v>
      </c>
      <c r="B50" t="s">
        <v>90</v>
      </c>
      <c r="C50">
        <v>2.1989526279999998</v>
      </c>
      <c r="D50">
        <v>0.65896576299999998</v>
      </c>
      <c r="E50">
        <v>-3.13</v>
      </c>
      <c r="F50">
        <v>-3.43</v>
      </c>
      <c r="G50">
        <v>-0.33</v>
      </c>
      <c r="H50" t="s">
        <v>23</v>
      </c>
      <c r="I50">
        <v>22</v>
      </c>
      <c r="J50">
        <v>-3.43</v>
      </c>
      <c r="K50">
        <v>0.05</v>
      </c>
      <c r="L50">
        <v>0.01</v>
      </c>
      <c r="M50">
        <v>9.1166800000000003E-4</v>
      </c>
      <c r="N50">
        <v>8.6830200000000005E-4</v>
      </c>
      <c r="O50">
        <v>-5</v>
      </c>
      <c r="P50">
        <v>5</v>
      </c>
      <c r="Q50" t="b">
        <v>1</v>
      </c>
      <c r="R50">
        <v>1</v>
      </c>
      <c r="S50" t="b">
        <v>1</v>
      </c>
      <c r="T50">
        <v>1</v>
      </c>
    </row>
    <row r="51" spans="1:21" x14ac:dyDescent="0.2">
      <c r="A51" t="s">
        <v>101</v>
      </c>
      <c r="B51" t="s">
        <v>90</v>
      </c>
      <c r="C51">
        <v>1.9956803240000001</v>
      </c>
      <c r="D51">
        <v>0.89449485500000003</v>
      </c>
      <c r="E51">
        <v>3</v>
      </c>
      <c r="F51">
        <v>3.19</v>
      </c>
      <c r="G51">
        <v>0.19</v>
      </c>
      <c r="H51" t="s">
        <v>23</v>
      </c>
      <c r="I51">
        <v>22</v>
      </c>
      <c r="J51">
        <v>3.19</v>
      </c>
      <c r="K51">
        <v>0.05</v>
      </c>
      <c r="L51">
        <v>0.01</v>
      </c>
      <c r="M51">
        <v>-2.3503479999999999E-3</v>
      </c>
      <c r="N51">
        <v>-5.0132830000000003E-3</v>
      </c>
      <c r="O51">
        <v>-5</v>
      </c>
      <c r="P51">
        <v>5</v>
      </c>
      <c r="Q51" t="b">
        <v>1</v>
      </c>
      <c r="R51">
        <v>1</v>
      </c>
      <c r="S51" t="b">
        <v>1</v>
      </c>
      <c r="T51">
        <v>1</v>
      </c>
      <c r="U51" t="s">
        <v>102</v>
      </c>
    </row>
    <row r="52" spans="1:21" s="2" customFormat="1" x14ac:dyDescent="0.2">
      <c r="A52" s="2" t="s">
        <v>103</v>
      </c>
      <c r="B52" s="2" t="s">
        <v>104</v>
      </c>
      <c r="C52" s="2" t="s">
        <v>23</v>
      </c>
      <c r="D52" s="2" t="s">
        <v>23</v>
      </c>
      <c r="E52" s="2">
        <v>4.0999999999999996</v>
      </c>
      <c r="F52" s="2">
        <v>3.04</v>
      </c>
      <c r="G52" s="2">
        <v>-1.08</v>
      </c>
      <c r="H52" s="2" t="s">
        <v>23</v>
      </c>
      <c r="I52" s="2">
        <v>23</v>
      </c>
      <c r="J52" s="2" t="s">
        <v>23</v>
      </c>
      <c r="K52" s="2" t="s">
        <v>23</v>
      </c>
      <c r="L52" s="2" t="s">
        <v>23</v>
      </c>
      <c r="M52" s="2" t="s">
        <v>23</v>
      </c>
      <c r="N52" s="2" t="s">
        <v>23</v>
      </c>
      <c r="O52" s="2">
        <v>0</v>
      </c>
      <c r="P52" s="2">
        <v>10</v>
      </c>
      <c r="Q52" s="2" t="b">
        <v>0</v>
      </c>
      <c r="R52" s="2">
        <v>0</v>
      </c>
      <c r="S52" s="2" t="b">
        <v>1</v>
      </c>
      <c r="T52" s="2">
        <v>1</v>
      </c>
      <c r="U52" s="2" t="s">
        <v>105</v>
      </c>
    </row>
    <row r="53" spans="1:21" x14ac:dyDescent="0.2">
      <c r="A53" t="s">
        <v>106</v>
      </c>
      <c r="B53" t="s">
        <v>104</v>
      </c>
      <c r="C53">
        <v>3.389174476</v>
      </c>
      <c r="D53">
        <v>0.92316308199999997</v>
      </c>
      <c r="E53">
        <v>7.47</v>
      </c>
      <c r="F53">
        <v>8.0500000000000007</v>
      </c>
      <c r="G53">
        <v>0.59</v>
      </c>
      <c r="H53" t="s">
        <v>23</v>
      </c>
      <c r="I53">
        <v>24</v>
      </c>
      <c r="J53">
        <v>8.0500000000000007</v>
      </c>
      <c r="K53">
        <v>0.05</v>
      </c>
      <c r="L53">
        <v>0.01</v>
      </c>
      <c r="M53">
        <v>-1.0997660000000001E-3</v>
      </c>
      <c r="N53">
        <v>-4.0719279999999998E-3</v>
      </c>
      <c r="O53">
        <v>0</v>
      </c>
      <c r="P53">
        <v>10</v>
      </c>
      <c r="Q53" t="b">
        <v>1</v>
      </c>
      <c r="R53">
        <v>1</v>
      </c>
      <c r="S53" t="b">
        <v>1</v>
      </c>
      <c r="T53">
        <v>1</v>
      </c>
    </row>
    <row r="54" spans="1:21" s="3" customFormat="1" x14ac:dyDescent="0.2">
      <c r="A54" s="3" t="s">
        <v>107</v>
      </c>
      <c r="B54" s="3" t="s">
        <v>104</v>
      </c>
      <c r="C54" s="3" t="s">
        <v>23</v>
      </c>
      <c r="D54" s="3" t="s">
        <v>23</v>
      </c>
      <c r="E54" s="3">
        <v>-1.1100000000000001</v>
      </c>
      <c r="F54" s="3">
        <v>-1.1399999999999999</v>
      </c>
      <c r="G54" s="3">
        <v>-0.02</v>
      </c>
      <c r="H54" s="3" t="s">
        <v>23</v>
      </c>
      <c r="I54" s="3">
        <v>22</v>
      </c>
      <c r="J54" s="3" t="s">
        <v>23</v>
      </c>
      <c r="K54" s="3" t="s">
        <v>23</v>
      </c>
      <c r="L54" s="3" t="s">
        <v>23</v>
      </c>
      <c r="M54" s="3" t="s">
        <v>23</v>
      </c>
      <c r="N54" s="3" t="s">
        <v>23</v>
      </c>
      <c r="O54" s="3">
        <v>-3</v>
      </c>
      <c r="P54" s="3">
        <v>3</v>
      </c>
      <c r="Q54" s="3" t="b">
        <v>0</v>
      </c>
      <c r="R54" s="3">
        <v>0</v>
      </c>
      <c r="S54" s="3" t="b">
        <v>0</v>
      </c>
      <c r="T54" s="3">
        <v>0</v>
      </c>
      <c r="U54" s="4" t="s">
        <v>108</v>
      </c>
    </row>
    <row r="55" spans="1:21" x14ac:dyDescent="0.2">
      <c r="A55" t="s">
        <v>109</v>
      </c>
      <c r="B55" t="s">
        <v>104</v>
      </c>
      <c r="C55">
        <v>4.824307449</v>
      </c>
      <c r="D55">
        <v>0.369723572</v>
      </c>
      <c r="E55">
        <v>0.78</v>
      </c>
      <c r="F55">
        <v>1.72</v>
      </c>
      <c r="G55">
        <v>0.95</v>
      </c>
      <c r="H55" t="s">
        <v>23</v>
      </c>
      <c r="I55">
        <v>26</v>
      </c>
      <c r="J55">
        <v>1.7</v>
      </c>
      <c r="K55">
        <v>0.03</v>
      </c>
      <c r="L55">
        <v>1E-3</v>
      </c>
      <c r="M55">
        <v>-8.4193199999999999E-4</v>
      </c>
      <c r="N55">
        <v>3.8193400000000001E-4</v>
      </c>
      <c r="O55">
        <v>-3</v>
      </c>
      <c r="P55">
        <v>3</v>
      </c>
      <c r="Q55" t="b">
        <v>1</v>
      </c>
      <c r="R55">
        <v>1</v>
      </c>
      <c r="S55" t="b">
        <v>1</v>
      </c>
      <c r="T55">
        <v>1</v>
      </c>
    </row>
    <row r="56" spans="1:21" x14ac:dyDescent="0.2">
      <c r="A56" t="s">
        <v>110</v>
      </c>
      <c r="B56" t="s">
        <v>111</v>
      </c>
      <c r="C56">
        <v>2.1328174400000002</v>
      </c>
      <c r="D56">
        <v>0.50174669900000002</v>
      </c>
      <c r="E56">
        <v>2</v>
      </c>
      <c r="F56">
        <v>1.35</v>
      </c>
      <c r="G56">
        <v>-0.65</v>
      </c>
      <c r="H56" t="s">
        <v>23</v>
      </c>
      <c r="I56">
        <v>60</v>
      </c>
      <c r="J56">
        <v>1.3</v>
      </c>
      <c r="K56">
        <v>0.1</v>
      </c>
      <c r="L56" s="1">
        <v>9.9999999999999995E-7</v>
      </c>
      <c r="M56">
        <v>1.4990890000000001E-3</v>
      </c>
      <c r="N56">
        <v>3.4835510000000001E-3</v>
      </c>
      <c r="O56">
        <v>1</v>
      </c>
      <c r="P56">
        <v>10</v>
      </c>
      <c r="Q56" t="b">
        <v>1</v>
      </c>
      <c r="R56">
        <v>1</v>
      </c>
      <c r="S56" t="b">
        <v>1</v>
      </c>
      <c r="T56">
        <v>1</v>
      </c>
      <c r="U56" t="s">
        <v>112</v>
      </c>
    </row>
    <row r="57" spans="1:21" x14ac:dyDescent="0.2">
      <c r="A57" t="s">
        <v>113</v>
      </c>
      <c r="B57" t="s">
        <v>114</v>
      </c>
      <c r="C57">
        <v>5.7465156210000004</v>
      </c>
      <c r="D57">
        <v>2.4553302879999999</v>
      </c>
      <c r="E57">
        <v>4.17</v>
      </c>
      <c r="F57">
        <v>3.36</v>
      </c>
      <c r="G57">
        <v>-0.83</v>
      </c>
      <c r="H57" t="s">
        <v>23</v>
      </c>
      <c r="I57">
        <v>149</v>
      </c>
      <c r="J57">
        <v>3.1</v>
      </c>
      <c r="K57">
        <v>0.05</v>
      </c>
      <c r="L57">
        <v>0.05</v>
      </c>
      <c r="M57" s="1">
        <v>5.0500000000000004E-7</v>
      </c>
      <c r="N57" s="1">
        <v>1.17E-6</v>
      </c>
      <c r="O57">
        <v>1</v>
      </c>
      <c r="P57">
        <v>10</v>
      </c>
      <c r="Q57" t="b">
        <v>1</v>
      </c>
      <c r="R57">
        <v>1</v>
      </c>
      <c r="S57" t="b">
        <v>1</v>
      </c>
      <c r="T57">
        <v>1</v>
      </c>
      <c r="U57" t="s">
        <v>115</v>
      </c>
    </row>
    <row r="58" spans="1:21" x14ac:dyDescent="0.2">
      <c r="A58" t="s">
        <v>116</v>
      </c>
      <c r="B58" t="s">
        <v>114</v>
      </c>
      <c r="C58">
        <v>16.147825189999999</v>
      </c>
      <c r="D58">
        <v>4.9689237740000003</v>
      </c>
      <c r="E58">
        <v>5.76</v>
      </c>
      <c r="F58">
        <v>5.42</v>
      </c>
      <c r="G58">
        <v>-0.33</v>
      </c>
      <c r="H58" t="s">
        <v>23</v>
      </c>
      <c r="I58">
        <v>149</v>
      </c>
      <c r="J58">
        <v>5.3</v>
      </c>
      <c r="K58">
        <v>0.05</v>
      </c>
      <c r="L58">
        <v>1E-3</v>
      </c>
      <c r="M58">
        <v>-0.30390693899999999</v>
      </c>
      <c r="N58">
        <v>-4.7109790999999998E-2</v>
      </c>
      <c r="O58">
        <v>1</v>
      </c>
      <c r="P58">
        <v>10</v>
      </c>
      <c r="Q58" t="b">
        <v>1</v>
      </c>
      <c r="R58">
        <v>1</v>
      </c>
      <c r="S58" t="b">
        <v>1</v>
      </c>
      <c r="T58">
        <v>1</v>
      </c>
    </row>
    <row r="59" spans="1:21" x14ac:dyDescent="0.2">
      <c r="A59" t="s">
        <v>117</v>
      </c>
      <c r="B59" t="s">
        <v>114</v>
      </c>
      <c r="C59">
        <v>3.2674659109999999</v>
      </c>
      <c r="D59">
        <v>0.89194311800000003</v>
      </c>
      <c r="E59">
        <v>7.76</v>
      </c>
      <c r="F59">
        <v>8.42</v>
      </c>
      <c r="G59">
        <v>0.68</v>
      </c>
      <c r="H59" t="s">
        <v>23</v>
      </c>
      <c r="I59">
        <v>149</v>
      </c>
      <c r="J59">
        <v>8.4</v>
      </c>
      <c r="K59">
        <v>0.01</v>
      </c>
      <c r="L59">
        <v>0.01</v>
      </c>
      <c r="M59" t="s">
        <v>23</v>
      </c>
      <c r="N59" t="s">
        <v>23</v>
      </c>
      <c r="O59">
        <v>1</v>
      </c>
      <c r="P59">
        <v>10</v>
      </c>
      <c r="Q59" t="b">
        <v>1</v>
      </c>
      <c r="R59">
        <v>1</v>
      </c>
      <c r="S59" t="b">
        <v>1</v>
      </c>
      <c r="T59">
        <v>1</v>
      </c>
      <c r="U59" t="s">
        <v>118</v>
      </c>
    </row>
    <row r="60" spans="1:21" x14ac:dyDescent="0.2">
      <c r="A60" t="s">
        <v>119</v>
      </c>
      <c r="B60" t="s">
        <v>114</v>
      </c>
      <c r="C60">
        <v>1.5883027830000001</v>
      </c>
      <c r="D60">
        <v>0.65750763199999995</v>
      </c>
      <c r="E60">
        <v>8.36</v>
      </c>
      <c r="F60">
        <v>8.56</v>
      </c>
      <c r="G60">
        <v>0.2</v>
      </c>
      <c r="H60" t="s">
        <v>23</v>
      </c>
      <c r="I60">
        <v>149</v>
      </c>
      <c r="J60">
        <v>8.5</v>
      </c>
      <c r="K60">
        <v>0.01</v>
      </c>
      <c r="L60">
        <v>0.01</v>
      </c>
      <c r="M60" t="s">
        <v>23</v>
      </c>
      <c r="N60" t="s">
        <v>23</v>
      </c>
      <c r="O60">
        <v>1</v>
      </c>
      <c r="P60">
        <v>10</v>
      </c>
      <c r="Q60" t="b">
        <v>1</v>
      </c>
      <c r="R60">
        <v>1</v>
      </c>
      <c r="S60" t="b">
        <v>1</v>
      </c>
      <c r="T60">
        <v>1</v>
      </c>
      <c r="U60" t="s">
        <v>118</v>
      </c>
    </row>
    <row r="61" spans="1:21" x14ac:dyDescent="0.2">
      <c r="A61" t="s">
        <v>120</v>
      </c>
      <c r="B61" t="s">
        <v>114</v>
      </c>
      <c r="C61">
        <v>3.467724848</v>
      </c>
      <c r="D61">
        <v>1.489014823</v>
      </c>
      <c r="E61">
        <v>6.87</v>
      </c>
      <c r="F61">
        <v>7.26</v>
      </c>
      <c r="G61">
        <v>0.41</v>
      </c>
      <c r="H61" t="s">
        <v>23</v>
      </c>
      <c r="I61">
        <v>149</v>
      </c>
      <c r="J61">
        <v>7.24</v>
      </c>
      <c r="K61">
        <v>0.01</v>
      </c>
      <c r="L61">
        <v>0.01</v>
      </c>
      <c r="M61" s="1">
        <v>5.13E-6</v>
      </c>
      <c r="N61">
        <v>1.340534E-3</v>
      </c>
      <c r="O61">
        <v>1</v>
      </c>
      <c r="P61">
        <v>10</v>
      </c>
      <c r="Q61" t="b">
        <v>1</v>
      </c>
      <c r="R61">
        <v>1</v>
      </c>
      <c r="S61" t="b">
        <v>1</v>
      </c>
      <c r="T61">
        <v>1</v>
      </c>
    </row>
    <row r="63" spans="1:21" x14ac:dyDescent="0.2">
      <c r="D63" s="6"/>
    </row>
    <row r="64" spans="1:21" x14ac:dyDescent="0.2">
      <c r="C64" s="6"/>
    </row>
  </sheetData>
  <conditionalFormatting sqref="A1:XFD1048576">
    <cfRule type="cellIs" dxfId="0" priority="1" operator="equal">
      <formula>FALSE</formula>
    </cfRule>
  </conditionalFormatting>
  <pageMargins left="0.75" right="0.75" top="1" bottom="1" header="0.5" footer="0.5"/>
  <pageSetup orientation="portrait" horizontalDpi="0" verticalDpi="0"/>
</worksheet>
</file>

<file path=docProps/app.xml><?xml version="1.0" encoding="utf-8"?>
<Properties xmlns="http://purl.oclc.org/ooxml/officeDocument/extendedProperties" xmlns:vt="http://purl.oclc.org/ooxml/officeDocument/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StudiesAnalysis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Matthew Turner</dc:creator>
  <cp:lastModifiedBy>Matthew Turner</cp:lastModifiedBy>
  <dcterms:created xsi:type="dcterms:W3CDTF">2024-11-06T00:30:27Z</dcterms:created>
  <dcterms:modified xsi:type="dcterms:W3CDTF">2024-12-19T04:28:24Z</dcterms:modified>
</cp:coreProperties>
</file>